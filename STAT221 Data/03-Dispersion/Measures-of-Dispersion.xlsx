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8_{1F62DF57-65F1-4CE1-904B-0DB291B882A7}" xr6:coauthVersionLast="47" xr6:coauthVersionMax="47" xr10:uidLastSave="{00000000-0000-0000-0000-000000000000}"/>
  <bookViews>
    <workbookView minimized="1" xWindow="1689" yWindow="1371" windowWidth="16320" windowHeight="8623" xr2:uid="{C3C553E2-F8FE-4F39-8B53-4FB1CA2F4CA3}"/>
  </bookViews>
  <sheets>
    <sheet name="Sheet1" sheetId="1" r:id="rId1"/>
    <sheet name="DataSets" sheetId="2" r:id="rId2"/>
    <sheet name="Sheet2" sheetId="3" r:id="rId3"/>
  </sheets>
  <definedNames>
    <definedName name="_xlchart.v1.0" hidden="1">Sheet1!$A$12:$B$20</definedName>
    <definedName name="_xlchart.v1.1" hidden="1">Sheet1!$D$11</definedName>
    <definedName name="_xlchart.v1.10" hidden="1">Sheet1!$A$26:$A$35</definedName>
    <definedName name="_xlchart.v1.11" hidden="1">DataSets!$C$1</definedName>
    <definedName name="_xlchart.v1.12" hidden="1">DataSets!$C$2:$C$151</definedName>
    <definedName name="_xlchart.v1.13" hidden="1">DataSets!$D$1</definedName>
    <definedName name="_xlchart.v1.14" hidden="1">DataSets!$D$2:$D$151</definedName>
    <definedName name="_xlchart.v1.15" hidden="1">DataSets!$E$1</definedName>
    <definedName name="_xlchart.v1.16" hidden="1">DataSets!$E$2:$E$151</definedName>
    <definedName name="_xlchart.v1.17" hidden="1">DataSets!$F$1</definedName>
    <definedName name="_xlchart.v1.18" hidden="1">DataSets!$F$2:$F$151</definedName>
    <definedName name="_xlchart.v1.19" hidden="1">Sheet2!$C$1</definedName>
    <definedName name="_xlchart.v1.2" hidden="1">Sheet1!$D$12:$D$20</definedName>
    <definedName name="_xlchart.v1.20" hidden="1">Sheet2!$C$2:$C$51</definedName>
    <definedName name="_xlchart.v1.21" hidden="1">Sheet2!$D$1</definedName>
    <definedName name="_xlchart.v1.22" hidden="1">Sheet2!$D$2:$D$51</definedName>
    <definedName name="_xlchart.v1.23" hidden="1">Sheet2!$E$1</definedName>
    <definedName name="_xlchart.v1.24" hidden="1">Sheet2!$E$2:$E$51</definedName>
    <definedName name="_xlchart.v1.25" hidden="1">Sheet2!$F$1</definedName>
    <definedName name="_xlchart.v1.26" hidden="1">Sheet2!$F$2:$F$51</definedName>
    <definedName name="_xlchart.v1.3" hidden="1">Sheet1!$A$12:$B$20</definedName>
    <definedName name="_xlchart.v1.4" hidden="1">Sheet1!$C$11</definedName>
    <definedName name="_xlchart.v1.5" hidden="1">Sheet1!$C$12:$C$20</definedName>
    <definedName name="_xlchart.v1.6" hidden="1">Sheet1!$D$11</definedName>
    <definedName name="_xlchart.v1.7" hidden="1">Sheet1!$D$12:$D$20</definedName>
    <definedName name="_xlchart.v1.8" hidden="1">Sheet1!$A$26:$A$35</definedName>
    <definedName name="_xlchart.v1.9" hidden="1">Sheet1!$A$25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6" i="1" l="1"/>
  <c r="G75" i="1"/>
  <c r="G71" i="1"/>
  <c r="G62" i="1"/>
  <c r="G63" i="1"/>
  <c r="G64" i="1"/>
  <c r="G65" i="1"/>
  <c r="G66" i="1"/>
  <c r="G67" i="1"/>
  <c r="G68" i="1"/>
  <c r="G69" i="1"/>
  <c r="G70" i="1"/>
  <c r="G61" i="1"/>
  <c r="F73" i="1"/>
  <c r="F62" i="1"/>
  <c r="F63" i="1"/>
  <c r="F64" i="1"/>
  <c r="F65" i="1"/>
  <c r="F66" i="1"/>
  <c r="F67" i="1"/>
  <c r="F68" i="1"/>
  <c r="F69" i="1"/>
  <c r="F70" i="1"/>
  <c r="F61" i="1"/>
  <c r="E62" i="1"/>
  <c r="E63" i="1"/>
  <c r="E64" i="1"/>
  <c r="E65" i="1"/>
  <c r="E66" i="1"/>
  <c r="E67" i="1"/>
  <c r="E68" i="1"/>
  <c r="E69" i="1"/>
  <c r="E70" i="1"/>
  <c r="E61" i="1"/>
  <c r="D71" i="1"/>
  <c r="D62" i="1"/>
  <c r="D63" i="1"/>
  <c r="D64" i="1"/>
  <c r="D65" i="1"/>
  <c r="D66" i="1"/>
  <c r="D67" i="1"/>
  <c r="D68" i="1"/>
  <c r="D69" i="1"/>
  <c r="D70" i="1"/>
  <c r="D61" i="1"/>
  <c r="L11" i="3"/>
  <c r="M11" i="3"/>
  <c r="N11" i="3"/>
  <c r="K11" i="3"/>
  <c r="L9" i="3"/>
  <c r="M9" i="3"/>
  <c r="N9" i="3"/>
  <c r="K9" i="3"/>
  <c r="L8" i="3"/>
  <c r="M8" i="3"/>
  <c r="N8" i="3"/>
  <c r="K8" i="3"/>
  <c r="K7" i="3"/>
  <c r="L7" i="3"/>
  <c r="M7" i="3"/>
  <c r="N7" i="3"/>
  <c r="K6" i="3"/>
  <c r="L6" i="3"/>
  <c r="M6" i="3"/>
  <c r="N6" i="3"/>
  <c r="L5" i="3"/>
  <c r="M5" i="3"/>
  <c r="N5" i="3"/>
  <c r="K5" i="3"/>
  <c r="K4" i="3"/>
  <c r="L4" i="3"/>
  <c r="M4" i="3"/>
  <c r="N4" i="3"/>
  <c r="L3" i="3"/>
  <c r="M3" i="3"/>
  <c r="N3" i="3"/>
  <c r="K3" i="3"/>
  <c r="L2" i="3"/>
  <c r="M2" i="3"/>
  <c r="N2" i="3"/>
  <c r="K2" i="3"/>
  <c r="D76" i="1" l="1"/>
  <c r="E30" i="1"/>
  <c r="E28" i="1"/>
  <c r="E27" i="1"/>
  <c r="E26" i="1"/>
  <c r="C27" i="1"/>
  <c r="C28" i="1"/>
  <c r="C29" i="1"/>
  <c r="C30" i="1"/>
  <c r="C31" i="1"/>
  <c r="C32" i="1"/>
  <c r="C33" i="1"/>
  <c r="C34" i="1"/>
  <c r="C35" i="1"/>
  <c r="C26" i="1"/>
  <c r="B28" i="1"/>
  <c r="B29" i="1" s="1"/>
  <c r="B30" i="1" s="1"/>
  <c r="B31" i="1" s="1"/>
  <c r="B32" i="1" s="1"/>
  <c r="B33" i="1" s="1"/>
  <c r="B34" i="1" s="1"/>
  <c r="B35" i="1" s="1"/>
  <c r="B27" i="1"/>
  <c r="B37" i="1"/>
  <c r="B38" i="1" l="1"/>
  <c r="K6" i="2"/>
  <c r="L6" i="2"/>
  <c r="M6" i="2"/>
  <c r="J6" i="2"/>
  <c r="K5" i="2"/>
  <c r="L5" i="2"/>
  <c r="M5" i="2"/>
  <c r="J5" i="2"/>
  <c r="M9" i="2"/>
  <c r="M8" i="2"/>
  <c r="L9" i="2"/>
  <c r="L8" i="2"/>
  <c r="K9" i="2"/>
  <c r="K8" i="2"/>
  <c r="J9" i="2"/>
  <c r="J8" i="2"/>
  <c r="M7" i="2"/>
  <c r="L7" i="2"/>
  <c r="K7" i="2"/>
  <c r="J7" i="2"/>
  <c r="K4" i="2"/>
  <c r="L4" i="2"/>
  <c r="M4" i="2"/>
  <c r="J4" i="2"/>
  <c r="K3" i="2"/>
  <c r="L3" i="2"/>
  <c r="M3" i="2"/>
  <c r="J3" i="2"/>
  <c r="K2" i="2"/>
  <c r="L2" i="2"/>
  <c r="M2" i="2"/>
  <c r="J2" i="2"/>
  <c r="C7" i="1"/>
  <c r="E71" i="1" l="1"/>
</calcChain>
</file>

<file path=xl/sharedStrings.xml><?xml version="1.0" encoding="utf-8"?>
<sst xmlns="http://schemas.openxmlformats.org/spreadsheetml/2006/main" count="311" uniqueCount="61">
  <si>
    <r>
      <rPr>
        <sz val="9"/>
        <color rgb="FFFFFFFF"/>
        <rFont val="Gill Sans MT"/>
        <family val="2"/>
      </rPr>
      <t>FREQUENCY</t>
    </r>
  </si>
  <si>
    <r>
      <rPr>
        <sz val="9"/>
        <color rgb="FFFFFFFF"/>
        <rFont val="Gill Sans MT"/>
        <family val="2"/>
      </rPr>
      <t>CUMULATIVE PERCENT</t>
    </r>
  </si>
  <si>
    <r>
      <rPr>
        <sz val="9"/>
        <color rgb="FF231F20"/>
        <rFont val="Gill Sans MT"/>
        <family val="2"/>
      </rPr>
      <t>Valid</t>
    </r>
  </si>
  <si>
    <r>
      <rPr>
        <sz val="9"/>
        <color rgb="FF231F20"/>
        <rFont val="Gill Sans MT"/>
        <family val="2"/>
      </rPr>
      <t>LT HIGH SCHOOL</t>
    </r>
  </si>
  <si>
    <r>
      <rPr>
        <sz val="9"/>
        <color rgb="FF231F20"/>
        <rFont val="Gill Sans MT"/>
        <family val="2"/>
      </rPr>
      <t>HIGH SCHOOL</t>
    </r>
  </si>
  <si>
    <r>
      <rPr>
        <sz val="9"/>
        <color rgb="FF231F20"/>
        <rFont val="Gill Sans MT"/>
        <family val="2"/>
      </rPr>
      <t>JUNIOR COLLEGE</t>
    </r>
  </si>
  <si>
    <r>
      <rPr>
        <sz val="9"/>
        <color rgb="FF231F20"/>
        <rFont val="Gill Sans MT"/>
        <family val="2"/>
      </rPr>
      <t>BACHELOR</t>
    </r>
  </si>
  <si>
    <r>
      <rPr>
        <sz val="9"/>
        <color rgb="FF231F20"/>
        <rFont val="Gill Sans MT"/>
        <family val="2"/>
      </rPr>
      <t>GRADUATE</t>
    </r>
  </si>
  <si>
    <t>Total</t>
  </si>
  <si>
    <t xml:space="preserve"> PERCENT</t>
  </si>
  <si>
    <r>
      <rPr>
        <sz val="9"/>
        <color rgb="FF231F20"/>
        <rFont val="Gill Sans MT"/>
        <family val="2"/>
      </rPr>
      <t>WHITE</t>
    </r>
  </si>
  <si>
    <r>
      <rPr>
        <sz val="9"/>
        <color rgb="FF231F20"/>
        <rFont val="Gill Sans MT"/>
        <family val="2"/>
      </rPr>
      <t>Less than 12 Years</t>
    </r>
  </si>
  <si>
    <r>
      <rPr>
        <sz val="9"/>
        <color rgb="FF231F20"/>
        <rFont val="Gill Sans MT"/>
        <family val="2"/>
      </rPr>
      <t>12 Years</t>
    </r>
  </si>
  <si>
    <r>
      <rPr>
        <sz val="9"/>
        <color rgb="FF231F20"/>
        <rFont val="Gill Sans MT"/>
        <family val="2"/>
      </rPr>
      <t>More than 12 Years</t>
    </r>
  </si>
  <si>
    <r>
      <rPr>
        <sz val="9"/>
        <color rgb="FF231F20"/>
        <rFont val="Gill Sans MT"/>
        <family val="2"/>
      </rPr>
      <t>BLACK</t>
    </r>
  </si>
  <si>
    <r>
      <rPr>
        <sz val="9"/>
        <color rgb="FF231F20"/>
        <rFont val="Gill Sans MT"/>
        <family val="2"/>
      </rPr>
      <t>OTHER</t>
    </r>
  </si>
  <si>
    <t>Education by Race in US</t>
  </si>
  <si>
    <t>IRIS</t>
  </si>
  <si>
    <t>Sl no</t>
  </si>
  <si>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</si>
  <si>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</si>
  <si>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</si>
  <si>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</si>
  <si>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</si>
  <si>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</si>
  <si>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</si>
  <si>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</si>
  <si>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STATISTICS</t>
  </si>
  <si>
    <t>Max</t>
  </si>
  <si>
    <t>Min</t>
  </si>
  <si>
    <t>RANGE</t>
  </si>
  <si>
    <t>QUINTILES</t>
  </si>
  <si>
    <t>Mean</t>
  </si>
  <si>
    <t>Median</t>
  </si>
  <si>
    <t>RACE OF RESPONDENT</t>
  </si>
  <si>
    <t>FREQUENCY</t>
  </si>
  <si>
    <t>CUMULATIVE PERCENT</t>
  </si>
  <si>
    <t>EDUCATION- LEVEL</t>
  </si>
  <si>
    <t>Sorted Data</t>
  </si>
  <si>
    <t>Quintiles</t>
  </si>
  <si>
    <t>Values</t>
  </si>
  <si>
    <r>
      <rPr>
        <sz val="9"/>
        <color rgb="FFFFFFFF"/>
        <rFont val="Gill Sans MT"/>
        <family val="2"/>
      </rPr>
      <t>RESPONDENT #</t>
    </r>
  </si>
  <si>
    <r>
      <rPr>
        <sz val="9"/>
        <color rgb="FFFFFFFF"/>
        <rFont val="Gill Sans MT"/>
        <family val="2"/>
      </rPr>
      <t>RESPONDENT’S EDUCATION</t>
    </r>
  </si>
  <si>
    <r>
      <rPr>
        <sz val="9"/>
        <color rgb="FFFFFFFF"/>
        <rFont val="Gill Sans MT"/>
        <family val="2"/>
      </rPr>
      <t>RESPONDENT’S GRANDMOTHER’S EDUCATION</t>
    </r>
  </si>
  <si>
    <r>
      <rPr>
        <sz val="9"/>
        <color rgb="FFFFFFFF"/>
        <rFont val="Gill Sans MT"/>
        <family val="2"/>
      </rPr>
      <t>CHANGE IN EDUCATION</t>
    </r>
  </si>
  <si>
    <t>Mean Deviation from mean</t>
  </si>
  <si>
    <t>Deviation from mean EDUCATION</t>
  </si>
  <si>
    <t>Absolute deviation from mean</t>
  </si>
  <si>
    <t>square of deviation from mean</t>
  </si>
  <si>
    <t>SUM  OF SQUARES</t>
  </si>
  <si>
    <t>S-square</t>
  </si>
  <si>
    <t>STDev</t>
  </si>
  <si>
    <t>Percentile</t>
  </si>
  <si>
    <t>ID</t>
  </si>
  <si>
    <t>N</t>
  </si>
  <si>
    <t>Q1</t>
  </si>
  <si>
    <t>Q2</t>
  </si>
  <si>
    <t>Q3</t>
  </si>
  <si>
    <t>IQR</t>
  </si>
  <si>
    <t>Sepal-petal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</si>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</sst>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ill Sans MT"/>
    </font>
    <font>
      <sz val="9"/>
      <color rgb="FFFFFFFF"/>
      <name val="Gill Sans MT"/>
      <family val="2"/>
    </font>
    <font>
      <sz val="9"/>
      <color rgb="FF231F20"/>
      <name val="Gill Sans MT"/>
      <family val="2"/>
    </font>
    <font>
      <sz val="9"/>
      <name val="Gill Sans MT"/>
      <family val="2"/>
    </font>
    <font>
      <sz val="11"/>
      <color theme="0"/>
      <name val="Gill Sans MT"/>
      <family val="2"/>
    </font>
    <font>
      <sz val="14"/>
      <color theme="1"/>
      <name val="Calibri"/>
      <family val="2"/>
      <scheme val="minor"/>
    </font>
    <font>
      <b/>
      <sz val="14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rgb="FF2AB67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right" vertical="top" indent="2" shrinkToFit="1"/>
    </xf>
    <xf numFmtId="164" fontId="4" fillId="0" borderId="3" xfId="0" applyNumberFormat="1" applyFont="1" applyBorder="1" applyAlignment="1">
      <alignment horizontal="right" vertical="top" indent="3" shrinkToFit="1"/>
    </xf>
    <xf numFmtId="0" fontId="0" fillId="0" borderId="0" xfId="0" applyAlignment="1">
      <alignment horizontal="left" wrapText="1"/>
    </xf>
    <xf numFmtId="0" fontId="2" fillId="0" borderId="4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right" vertical="top" indent="2" shrinkToFit="1"/>
    </xf>
    <xf numFmtId="164" fontId="4" fillId="0" borderId="6" xfId="0" applyNumberFormat="1" applyFont="1" applyBorder="1" applyAlignment="1">
      <alignment horizontal="right" vertical="top" indent="3" shrinkToFit="1"/>
    </xf>
    <xf numFmtId="1" fontId="0" fillId="0" borderId="0" xfId="0" applyNumberFormat="1"/>
    <xf numFmtId="0" fontId="3" fillId="2" borderId="2" xfId="0" applyFont="1" applyFill="1" applyBorder="1" applyAlignment="1">
      <alignment horizontal="left" vertical="top" wrapText="1" indent="1"/>
    </xf>
    <xf numFmtId="0" fontId="1" fillId="0" borderId="0" xfId="0" applyFont="1"/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1" fontId="4" fillId="0" borderId="7" xfId="0" applyNumberFormat="1" applyFont="1" applyBorder="1" applyAlignment="1">
      <alignment horizontal="center" vertical="top" shrinkToFit="1"/>
    </xf>
    <xf numFmtId="164" fontId="4" fillId="0" borderId="7" xfId="0" applyNumberFormat="1" applyFont="1" applyBorder="1" applyAlignment="1">
      <alignment horizontal="right" vertical="top" indent="2" shrinkToFit="1"/>
    </xf>
    <xf numFmtId="164" fontId="4" fillId="0" borderId="7" xfId="0" applyNumberFormat="1" applyFont="1" applyBorder="1" applyAlignment="1">
      <alignment horizontal="right" vertical="top" indent="3" shrinkToFit="1"/>
    </xf>
    <xf numFmtId="0" fontId="2" fillId="3" borderId="7" xfId="0" applyFont="1" applyFill="1" applyBorder="1" applyAlignment="1">
      <alignment horizontal="center" vertical="top" wrapText="1"/>
    </xf>
    <xf numFmtId="1" fontId="4" fillId="3" borderId="7" xfId="0" applyNumberFormat="1" applyFont="1" applyFill="1" applyBorder="1" applyAlignment="1">
      <alignment horizontal="center" vertical="top" shrinkToFit="1"/>
    </xf>
    <xf numFmtId="164" fontId="4" fillId="3" borderId="7" xfId="0" applyNumberFormat="1" applyFont="1" applyFill="1" applyBorder="1" applyAlignment="1">
      <alignment horizontal="right" vertical="top" indent="2" shrinkToFit="1"/>
    </xf>
    <xf numFmtId="164" fontId="4" fillId="3" borderId="7" xfId="0" applyNumberFormat="1" applyFont="1" applyFill="1" applyBorder="1" applyAlignment="1">
      <alignment horizontal="right" vertical="top" indent="3" shrinkToFit="1"/>
    </xf>
    <xf numFmtId="0" fontId="2" fillId="3" borderId="7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1" fontId="4" fillId="4" borderId="7" xfId="0" applyNumberFormat="1" applyFont="1" applyFill="1" applyBorder="1" applyAlignment="1">
      <alignment horizontal="center" vertical="top" shrinkToFit="1"/>
    </xf>
    <xf numFmtId="164" fontId="4" fillId="4" borderId="7" xfId="0" applyNumberFormat="1" applyFont="1" applyFill="1" applyBorder="1" applyAlignment="1">
      <alignment horizontal="right" vertical="top" indent="2" shrinkToFit="1"/>
    </xf>
    <xf numFmtId="164" fontId="4" fillId="4" borderId="7" xfId="0" applyNumberFormat="1" applyFont="1" applyFill="1" applyBorder="1" applyAlignment="1">
      <alignment horizontal="right" vertical="top" indent="3" shrinkToFit="1"/>
    </xf>
    <xf numFmtId="0" fontId="0" fillId="0" borderId="7" xfId="0" applyBorder="1" applyAlignment="1">
      <alignment wrapText="1"/>
    </xf>
    <xf numFmtId="0" fontId="0" fillId="3" borderId="7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6" fillId="2" borderId="0" xfId="0" applyFont="1" applyFill="1" applyAlignment="1">
      <alignment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vertical="center" wrapText="1" indent="2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left" vertical="top" indent="5" shrinkToFit="1"/>
    </xf>
    <xf numFmtId="0" fontId="5" fillId="2" borderId="3" xfId="0" applyFont="1" applyFill="1" applyBorder="1" applyAlignment="1">
      <alignment vertical="center" wrapText="1"/>
    </xf>
    <xf numFmtId="1" fontId="4" fillId="0" borderId="3" xfId="0" applyNumberFormat="1" applyFont="1" applyBorder="1" applyAlignment="1">
      <alignment vertical="top" shrinkToFit="1"/>
    </xf>
    <xf numFmtId="0" fontId="5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left" vertical="center" wrapText="1" indent="2"/>
    </xf>
    <xf numFmtId="164" fontId="1" fillId="0" borderId="0" xfId="0" applyNumberFormat="1" applyFont="1"/>
    <xf numFmtId="2" fontId="1" fillId="0" borderId="0" xfId="0" applyNumberFormat="1" applyFont="1"/>
    <xf numFmtId="164" fontId="4" fillId="0" borderId="1" xfId="0" applyNumberFormat="1" applyFont="1" applyBorder="1" applyAlignment="1">
      <alignment vertical="top" shrinkToFit="1"/>
    </xf>
    <xf numFmtId="0" fontId="0" fillId="5" borderId="0" xfId="0" applyFill="1"/>
    <xf numFmtId="164" fontId="0" fillId="5" borderId="0" xfId="0" applyNumberFormat="1" applyFill="1"/>
    <xf numFmtId="0" fontId="1" fillId="5" borderId="0" xfId="0" applyFont="1" applyFill="1"/>
    <xf numFmtId="0" fontId="8" fillId="0" borderId="0" xfId="0" applyFont="1" applyAlignment="1">
      <alignment horizontal="center" vertical="top" wrapText="1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Tree Map of education level by race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Tree Map of education level by race (%)</a:t>
          </a:r>
        </a:p>
      </cx:txPr>
    </cx:title>
    <cx:plotArea>
      <cx:plotAreaRegion>
        <cx:series layoutId="treemap" uniqueId="{ECEEF216-C7B2-400C-9926-FD3EABCA54D1}">
          <cx:tx>
            <cx:txData>
              <cx:f>_xlchart.v1.1</cx:f>
              <cx:v> PERCENT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/>
    <cx:plotArea>
      <cx:plotAreaRegion>
        <cx:series layoutId="boxWhisker" uniqueId="{5F7285EC-C7FE-4A1A-8605-D8B230E1760E}">
          <cx:tx>
            <cx:txData>
              <cx:f>_xlchart.v1.9</cx:f>
              <cx:v>Sorted Data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boxWhisker" uniqueId="{E6E95BB8-153B-4EA5-B914-08C8C1922369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  <cx:data id="1">
      <cx:strDim type="cat">
        <cx:f>_xlchart.v1.3</cx:f>
      </cx:strDim>
      <cx:numDim type="size">
        <cx:f>_xlchart.v1.7</cx:f>
      </cx:numDim>
    </cx:data>
  </cx:chartData>
  <cx:chart>
    <cx:title pos="t" align="ctr" overlay="0"/>
    <cx:plotArea>
      <cx:plotAreaRegion>
        <cx:series layoutId="treemap" uniqueId="{DF1669A8-DDE5-42BC-AE61-2549E9515AE0}" formatIdx="0">
          <cx:tx>
            <cx:txData>
              <cx:f>_xlchart.v1.4</cx:f>
              <cx:v>FREQUENCY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11A1ECC1-6AD6-4E7E-92FB-12C68FC50C21}" formatIdx="1">
          <cx:tx>
            <cx:txData>
              <cx:f>_xlchart.v1.6</cx:f>
              <cx:v> PERCENT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_xlchart.v1.14</cx:f>
      </cx:numDim>
    </cx:data>
    <cx:data id="2">
      <cx:numDim type="val">
        <cx:f>_xlchart.v1.16</cx:f>
      </cx:numDim>
    </cx:data>
    <cx:data id="3">
      <cx:numDim type="val">
        <cx:f>_xlchart.v1.18</cx:f>
      </cx:numDim>
    </cx:data>
  </cx:chartData>
  <cx:chart>
    <cx:title pos="t" align="ctr" overlay="0">
      <cx:tx>
        <cx:txData>
          <cx:v>Box plots of IRIS flowers length and width of Iris flower sepals and petals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plots of IRIS flowers length and width of Iris flower sepals and petals</a:t>
          </a:r>
        </a:p>
      </cx:txPr>
    </cx:title>
    <cx:plotArea>
      <cx:plotAreaRegion>
        <cx:series layoutId="boxWhisker" uniqueId="{E606807F-1C00-4E02-AA5E-E00C451A27C3}">
          <cx:tx>
            <cx:txData>
              <cx:f>_xlchart.v1.11</cx:f>
              <cx:v>Sepal.Length</cx:v>
            </cx:txData>
          </cx:tx>
          <cx:dataLabels>
            <cx:numFmt formatCode="#,##0.00" sourceLinked="0"/>
            <cx:visibility seriesName="0" categoryName="0" value="1"/>
            <cx:separator>, </cx:separator>
            <cx:dataLabelHidden idx="153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215D7BF0-7436-41F3-B4D0-16D77FA8B793}">
          <cx:tx>
            <cx:txData>
              <cx:f>_xlchart.v1.13</cx:f>
              <cx:v>Sepal.Width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dataLabels>
            <cx:visibility seriesName="0" categoryName="0" value="1"/>
            <cx:dataLabelHidden idx="153"/>
          </cx:dataLabels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CD8FDA88-07A1-47D5-8D8A-AC15612D9FA3}">
          <cx:tx>
            <cx:txData>
              <cx:f>_xlchart.v1.15</cx:f>
              <cx:v>Petal.Length</cx:v>
            </cx:txData>
          </cx:tx>
          <cx:spPr>
            <a:solidFill>
              <a:schemeClr val="accent2">
                <a:lumMod val="75000"/>
              </a:schemeClr>
            </a:solidFill>
          </cx:spPr>
          <cx:dataLabels>
            <cx:visibility seriesName="0" categoryName="0" value="1"/>
          </cx:dataLabels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F535B721-CF06-4D54-B87F-B4962FA2E2D8}">
          <cx:tx>
            <cx:txData>
              <cx:f>_xlchart.v1.17</cx:f>
              <cx:v>Petal.Width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>
            <cx:visibility seriesName="0" categoryName="0" value="1"/>
            <cx:dataLabelHidden idx="153"/>
          </cx:dataLabels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txData>
              <cx:v>lenght/width in cm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lenght/width in cm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_xlchart.v1.22</cx:f>
      </cx:numDim>
    </cx:data>
    <cx:data id="2">
      <cx:numDim type="val">
        <cx:f>_xlchart.v1.24</cx:f>
      </cx:numDim>
    </cx:data>
    <cx:data id="3">
      <cx:numDim type="val">
        <cx:f>_xlchart.v1.26</cx:f>
      </cx:numDim>
    </cx:data>
  </cx:chartData>
  <cx:chart>
    <cx:title pos="t" align="ctr" overlay="0"/>
    <cx:plotArea>
      <cx:plotAreaRegion>
        <cx:series layoutId="boxWhisker" uniqueId="{680C9A77-7245-4876-B390-C1B27495221F}">
          <cx:tx>
            <cx:txData>
              <cx:f>_xlchart.v1.19</cx:f>
              <cx:v>Sepal.Length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992B64E-E77F-4188-9910-E2FA7DA1E02F}">
          <cx:tx>
            <cx:txData>
              <cx:f>_xlchart.v1.21</cx:f>
              <cx:v>Sepal.Width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3A76D8F-A00A-4E37-B020-1F391725BCB9}">
          <cx:tx>
            <cx:txData>
              <cx:f>_xlchart.v1.23</cx:f>
              <cx:v>Petal.Length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FF09D59-A553-41EF-AF64-A48FA939839A}">
          <cx:tx>
            <cx:txData>
              <cx:f>_xlchart.v1.25</cx:f>
              <cx:v>Petal.Width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310242</xdr:colOff>
      <xdr:row>7</xdr:row>
      <xdr:rowOff>166007</xdr:rowOff>
    </xdr:from>
    <xdr:to>
      <xdr:col>11</xdr:col>
      <xdr:colOff>119742</xdr:colOff>
      <xdr:row>20</xdr:row>
      <xdr:rowOff>8164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05D794B-0A34-7369-DF17-E60CA7D949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7056" y="2163536"/>
              <a:ext cx="4572000" cy="2743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376498</xdr:colOff>
      <xdr:row>34</xdr:row>
      <xdr:rowOff>133350</xdr:rowOff>
    </xdr:from>
    <xdr:to>
      <xdr:col>11</xdr:col>
      <xdr:colOff>239487</xdr:colOff>
      <xdr:row>56</xdr:row>
      <xdr:rowOff>40923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F4815BD-6BE4-74EA-6AB8-FB183F3971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5927" y="7622721"/>
              <a:ext cx="3302874" cy="39788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0</xdr:col>
      <xdr:colOff>0</xdr:colOff>
      <xdr:row>69</xdr:row>
      <xdr:rowOff>201973</xdr:rowOff>
    </xdr:from>
    <xdr:ext cx="3958170" cy="50800"/>
    <xdr:pic>
      <xdr:nvPicPr>
        <xdr:cNvPr id="10" name="image47.jpeg">
          <a:extLst>
            <a:ext uri="{FF2B5EF4-FFF2-40B4-BE49-F238E27FC236}">
              <a16:creationId xmlns:a16="http://schemas.microsoft.com/office/drawing/2014/main" id="{7C81C5DB-5B06-4B31-9937-1D7F5532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62244"/>
          <a:ext cx="3958170" cy="50800"/>
        </a:xfrm>
        <a:prstGeom prst="rect">
          <a:avLst/>
        </a:prstGeom>
      </xdr:spPr>
    </xdr:pic>
    <xdr:clientData/>
  </xdr:oneCellAnchor>
  <xdr:twoCellAnchor>
    <xdr:from>
      <xdr:col>5</xdr:col>
      <xdr:colOff>820111</xdr:colOff>
      <xdr:row>25</xdr:row>
      <xdr:rowOff>58684</xdr:rowOff>
    </xdr:from>
    <xdr:to>
      <xdr:col>11</xdr:col>
      <xdr:colOff>624496</xdr:colOff>
      <xdr:row>40</xdr:row>
      <xdr:rowOff>39532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43CD18D1-456E-FF6A-2B33-112BBC55E3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66925" y="5882541"/>
              <a:ext cx="4566885" cy="2756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343351</xdr:colOff>
      <xdr:row>8</xdr:row>
      <xdr:rowOff>23899</xdr:rowOff>
    </xdr:from>
    <xdr:to>
      <xdr:col>18</xdr:col>
      <xdr:colOff>331893</xdr:colOff>
      <xdr:row>20</xdr:row>
      <xdr:rowOff>57948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B361344-F600-49EA-1C48-585790E17E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2665" y="2206485"/>
              <a:ext cx="4560542" cy="27500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9071</xdr:colOff>
      <xdr:row>0</xdr:row>
      <xdr:rowOff>68035</xdr:rowOff>
    </xdr:from>
    <xdr:to>
      <xdr:col>24</xdr:col>
      <xdr:colOff>413657</xdr:colOff>
      <xdr:row>24</xdr:row>
      <xdr:rowOff>4536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4B70D26-B7B8-B4EA-9533-25327709DA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9114" y="68035"/>
              <a:ext cx="6282872" cy="4377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476248</xdr:colOff>
      <xdr:row>21</xdr:row>
      <xdr:rowOff>179614</xdr:rowOff>
    </xdr:from>
    <xdr:to>
      <xdr:col>15</xdr:col>
      <xdr:colOff>321128</xdr:colOff>
      <xdr:row>45</xdr:row>
      <xdr:rowOff>43543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BFFC07-F197-FA49-8D7E-37711981F6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5334" y="4065814"/>
              <a:ext cx="6664780" cy="430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3AA1-4493-4540-B1DA-82F126F83655}">
  <dimension ref="A1:G76"/>
  <sheetViews>
    <sheetView tabSelected="1" topLeftCell="A57" zoomScale="133" zoomScaleNormal="133" workbookViewId="0">
      <selection activeCell="F73" sqref="F73"/>
    </sheetView>
  </sheetViews>
  <sheetFormatPr defaultRowHeight="14.6" x14ac:dyDescent="0.4"/>
  <cols>
    <col min="1" max="1" width="11.53515625" customWidth="1"/>
    <col min="2" max="2" width="13.53515625" customWidth="1"/>
    <col min="3" max="3" width="15.69140625" customWidth="1"/>
    <col min="4" max="4" width="12.84375" customWidth="1"/>
    <col min="6" max="6" width="18.69140625" customWidth="1"/>
    <col min="8" max="8" width="11.69140625" customWidth="1"/>
  </cols>
  <sheetData>
    <row r="1" spans="1:5" ht="42.45" x14ac:dyDescent="0.4">
      <c r="A1" s="53"/>
      <c r="B1" s="54"/>
      <c r="C1" s="1" t="s">
        <v>0</v>
      </c>
      <c r="D1" s="14" t="s">
        <v>9</v>
      </c>
      <c r="E1" s="2" t="s">
        <v>1</v>
      </c>
    </row>
    <row r="2" spans="1:5" ht="28.3" x14ac:dyDescent="0.4">
      <c r="A2" s="3" t="s">
        <v>2</v>
      </c>
      <c r="B2" s="4" t="s">
        <v>3</v>
      </c>
      <c r="C2" s="5">
        <v>691</v>
      </c>
      <c r="D2" s="6">
        <v>15.3</v>
      </c>
      <c r="E2" s="7">
        <v>15.3</v>
      </c>
    </row>
    <row r="3" spans="1:5" x14ac:dyDescent="0.4">
      <c r="A3" s="8"/>
      <c r="B3" s="4" t="s">
        <v>4</v>
      </c>
      <c r="C3" s="5">
        <v>2273</v>
      </c>
      <c r="D3" s="6">
        <v>50.4</v>
      </c>
      <c r="E3" s="7">
        <v>65.8</v>
      </c>
    </row>
    <row r="4" spans="1:5" ht="28.3" x14ac:dyDescent="0.4">
      <c r="A4" s="8"/>
      <c r="B4" s="4" t="s">
        <v>5</v>
      </c>
      <c r="C4" s="5">
        <v>377</v>
      </c>
      <c r="D4" s="6">
        <v>8.4</v>
      </c>
      <c r="E4" s="7">
        <v>74.099999999999994</v>
      </c>
    </row>
    <row r="5" spans="1:5" x14ac:dyDescent="0.4">
      <c r="A5" s="8"/>
      <c r="B5" s="4" t="s">
        <v>6</v>
      </c>
      <c r="C5" s="5">
        <v>763</v>
      </c>
      <c r="D5" s="6">
        <v>16.899999999999999</v>
      </c>
      <c r="E5" s="7">
        <v>91.1</v>
      </c>
    </row>
    <row r="6" spans="1:5" x14ac:dyDescent="0.4">
      <c r="A6" s="8"/>
      <c r="B6" s="9" t="s">
        <v>7</v>
      </c>
      <c r="C6" s="10">
        <v>403</v>
      </c>
      <c r="D6" s="11">
        <v>8.9</v>
      </c>
      <c r="E6" s="12">
        <v>100</v>
      </c>
    </row>
    <row r="7" spans="1:5" x14ac:dyDescent="0.4">
      <c r="B7" s="4" t="s">
        <v>8</v>
      </c>
      <c r="C7" s="13">
        <f>SUM(C2:C6)</f>
        <v>4507</v>
      </c>
    </row>
    <row r="10" spans="1:5" ht="16.75" customHeight="1" x14ac:dyDescent="0.5">
      <c r="A10" s="37"/>
      <c r="B10" s="52" t="s">
        <v>16</v>
      </c>
      <c r="C10" s="52"/>
      <c r="D10" s="52"/>
      <c r="E10" s="52"/>
    </row>
    <row r="11" spans="1:5" ht="42.45" customHeight="1" x14ac:dyDescent="0.4">
      <c r="A11" s="36" t="s">
        <v>34</v>
      </c>
      <c r="B11" s="17" t="s">
        <v>37</v>
      </c>
      <c r="C11" s="18" t="s">
        <v>35</v>
      </c>
      <c r="D11" s="18" t="s">
        <v>9</v>
      </c>
      <c r="E11" s="19" t="s">
        <v>36</v>
      </c>
    </row>
    <row r="12" spans="1:5" ht="14.6" customHeight="1" x14ac:dyDescent="0.4">
      <c r="A12" s="20" t="s">
        <v>10</v>
      </c>
      <c r="B12" s="20" t="s">
        <v>11</v>
      </c>
      <c r="C12" s="21">
        <v>428</v>
      </c>
      <c r="D12" s="22">
        <v>13</v>
      </c>
      <c r="E12" s="23">
        <v>13</v>
      </c>
    </row>
    <row r="13" spans="1:5" x14ac:dyDescent="0.4">
      <c r="A13" s="33"/>
      <c r="B13" s="20" t="s">
        <v>12</v>
      </c>
      <c r="C13" s="21">
        <v>917</v>
      </c>
      <c r="D13" s="22">
        <v>27.9</v>
      </c>
      <c r="E13" s="23">
        <v>41</v>
      </c>
    </row>
    <row r="14" spans="1:5" ht="14.6" customHeight="1" x14ac:dyDescent="0.4">
      <c r="A14" s="33"/>
      <c r="B14" s="20" t="s">
        <v>13</v>
      </c>
      <c r="C14" s="21">
        <v>1939</v>
      </c>
      <c r="D14" s="22">
        <v>59</v>
      </c>
      <c r="E14" s="23">
        <v>100</v>
      </c>
    </row>
    <row r="15" spans="1:5" ht="19.75" customHeight="1" x14ac:dyDescent="0.4">
      <c r="A15" s="28" t="s">
        <v>14</v>
      </c>
      <c r="B15" s="24" t="s">
        <v>11</v>
      </c>
      <c r="C15" s="25">
        <v>137</v>
      </c>
      <c r="D15" s="26">
        <v>21.6</v>
      </c>
      <c r="E15" s="27">
        <v>21.6</v>
      </c>
    </row>
    <row r="16" spans="1:5" ht="14.6" customHeight="1" x14ac:dyDescent="0.4">
      <c r="A16" s="34"/>
      <c r="B16" s="28" t="s">
        <v>12</v>
      </c>
      <c r="C16" s="25">
        <v>165</v>
      </c>
      <c r="D16" s="26">
        <v>26</v>
      </c>
      <c r="E16" s="27">
        <v>47.6</v>
      </c>
    </row>
    <row r="17" spans="1:6" ht="18.45" customHeight="1" x14ac:dyDescent="0.4">
      <c r="A17" s="34"/>
      <c r="B17" s="28" t="s">
        <v>13</v>
      </c>
      <c r="C17" s="25">
        <v>332</v>
      </c>
      <c r="D17" s="26">
        <v>52.4</v>
      </c>
      <c r="E17" s="27">
        <v>100</v>
      </c>
    </row>
    <row r="18" spans="1:6" ht="14.6" customHeight="1" x14ac:dyDescent="0.4">
      <c r="A18" s="29" t="s">
        <v>15</v>
      </c>
      <c r="B18" s="29" t="s">
        <v>11</v>
      </c>
      <c r="C18" s="30">
        <v>216</v>
      </c>
      <c r="D18" s="31">
        <v>36.5</v>
      </c>
      <c r="E18" s="32">
        <v>36.5</v>
      </c>
    </row>
    <row r="19" spans="1:6" x14ac:dyDescent="0.4">
      <c r="A19" s="35"/>
      <c r="B19" s="29" t="s">
        <v>12</v>
      </c>
      <c r="C19" s="30">
        <v>122</v>
      </c>
      <c r="D19" s="31">
        <v>20.6</v>
      </c>
      <c r="E19" s="32">
        <v>57.1</v>
      </c>
    </row>
    <row r="20" spans="1:6" ht="14.6" customHeight="1" x14ac:dyDescent="0.4">
      <c r="A20" s="35"/>
      <c r="B20" s="29" t="s">
        <v>13</v>
      </c>
      <c r="C20" s="30">
        <v>254</v>
      </c>
      <c r="D20" s="31">
        <v>42.9</v>
      </c>
      <c r="E20" s="32">
        <v>100</v>
      </c>
    </row>
    <row r="22" spans="1:6" ht="14.6" customHeight="1" x14ac:dyDescent="0.4"/>
    <row r="25" spans="1:6" x14ac:dyDescent="0.4">
      <c r="A25" s="15" t="s">
        <v>38</v>
      </c>
      <c r="B25" s="15" t="s">
        <v>53</v>
      </c>
      <c r="C25" t="s">
        <v>52</v>
      </c>
      <c r="D25" s="15" t="s">
        <v>39</v>
      </c>
      <c r="E25" s="15" t="s">
        <v>40</v>
      </c>
    </row>
    <row r="26" spans="1:6" x14ac:dyDescent="0.4">
      <c r="A26">
        <v>0</v>
      </c>
      <c r="B26">
        <v>1</v>
      </c>
      <c r="C26">
        <f>B26/$B$36*100</f>
        <v>10</v>
      </c>
      <c r="D26">
        <v>0.25</v>
      </c>
      <c r="E26" s="15">
        <f>PERCENTILE(A26:A35,D26)</f>
        <v>2.25</v>
      </c>
      <c r="F26" s="15" t="s">
        <v>55</v>
      </c>
    </row>
    <row r="27" spans="1:6" x14ac:dyDescent="0.4">
      <c r="A27">
        <v>2</v>
      </c>
      <c r="B27" s="15">
        <f>B26+1</f>
        <v>2</v>
      </c>
      <c r="C27" s="15">
        <f t="shared" ref="C27:C35" si="0">B27/$B$36*100</f>
        <v>20</v>
      </c>
      <c r="D27">
        <v>0.5</v>
      </c>
      <c r="E27" s="15">
        <f>PERCENTILE(A26:A35,D27)</f>
        <v>4.5</v>
      </c>
      <c r="F27" t="s">
        <v>56</v>
      </c>
    </row>
    <row r="28" spans="1:6" x14ac:dyDescent="0.4">
      <c r="A28">
        <v>2</v>
      </c>
      <c r="B28" s="15">
        <f t="shared" ref="B28:B35" si="1">B27+1</f>
        <v>3</v>
      </c>
      <c r="C28" s="15">
        <f t="shared" si="0"/>
        <v>30</v>
      </c>
      <c r="D28">
        <v>0.75</v>
      </c>
      <c r="E28" s="15">
        <f>PERCENTILE(A26:A35,D28)</f>
        <v>7.75</v>
      </c>
      <c r="F28" s="15" t="s">
        <v>57</v>
      </c>
    </row>
    <row r="29" spans="1:6" x14ac:dyDescent="0.4">
      <c r="A29" s="15">
        <v>3</v>
      </c>
      <c r="B29">
        <f t="shared" si="1"/>
        <v>4</v>
      </c>
      <c r="C29" s="15">
        <f t="shared" si="0"/>
        <v>40</v>
      </c>
    </row>
    <row r="30" spans="1:6" x14ac:dyDescent="0.4">
      <c r="A30" s="15">
        <v>4</v>
      </c>
      <c r="B30" s="15">
        <f t="shared" si="1"/>
        <v>5</v>
      </c>
      <c r="C30" s="15">
        <f t="shared" si="0"/>
        <v>50</v>
      </c>
      <c r="D30" t="s">
        <v>58</v>
      </c>
      <c r="E30" s="15">
        <f>E28-E26</f>
        <v>5.5</v>
      </c>
    </row>
    <row r="31" spans="1:6" x14ac:dyDescent="0.4">
      <c r="A31" s="15">
        <v>5</v>
      </c>
      <c r="B31">
        <f t="shared" si="1"/>
        <v>6</v>
      </c>
      <c r="C31">
        <f t="shared" si="0"/>
        <v>60</v>
      </c>
    </row>
    <row r="32" spans="1:6" x14ac:dyDescent="0.4">
      <c r="A32">
        <v>7</v>
      </c>
      <c r="B32">
        <f t="shared" si="1"/>
        <v>7</v>
      </c>
      <c r="C32">
        <f t="shared" si="0"/>
        <v>70</v>
      </c>
    </row>
    <row r="33" spans="1:3" x14ac:dyDescent="0.4">
      <c r="A33">
        <v>8</v>
      </c>
      <c r="B33">
        <f t="shared" si="1"/>
        <v>8</v>
      </c>
      <c r="C33">
        <f t="shared" si="0"/>
        <v>80</v>
      </c>
    </row>
    <row r="34" spans="1:3" x14ac:dyDescent="0.4">
      <c r="A34">
        <v>11</v>
      </c>
      <c r="B34">
        <f t="shared" si="1"/>
        <v>9</v>
      </c>
      <c r="C34">
        <f t="shared" si="0"/>
        <v>90</v>
      </c>
    </row>
    <row r="35" spans="1:3" x14ac:dyDescent="0.4">
      <c r="A35">
        <v>13</v>
      </c>
      <c r="B35">
        <f t="shared" si="1"/>
        <v>10</v>
      </c>
      <c r="C35">
        <f t="shared" si="0"/>
        <v>100</v>
      </c>
    </row>
    <row r="36" spans="1:3" x14ac:dyDescent="0.4">
      <c r="A36" t="s">
        <v>54</v>
      </c>
      <c r="B36">
        <v>10</v>
      </c>
    </row>
    <row r="37" spans="1:3" x14ac:dyDescent="0.4">
      <c r="A37" t="s">
        <v>32</v>
      </c>
      <c r="B37" s="15">
        <f>SUM(A26:A35)/10</f>
        <v>5.5</v>
      </c>
    </row>
    <row r="38" spans="1:3" x14ac:dyDescent="0.4">
      <c r="A38" t="s">
        <v>33</v>
      </c>
      <c r="B38" s="15">
        <f>MEDIAN(A26:A35)</f>
        <v>4.5</v>
      </c>
    </row>
    <row r="60" spans="1:7" ht="28.3" customHeight="1" x14ac:dyDescent="0.5">
      <c r="A60" s="38" t="s">
        <v>41</v>
      </c>
      <c r="B60" s="42" t="s">
        <v>42</v>
      </c>
      <c r="C60" s="44" t="s">
        <v>43</v>
      </c>
      <c r="D60" s="39" t="s">
        <v>44</v>
      </c>
      <c r="E60" s="45" t="s">
        <v>46</v>
      </c>
      <c r="F60" t="s">
        <v>47</v>
      </c>
      <c r="G60" t="s">
        <v>48</v>
      </c>
    </row>
    <row r="61" spans="1:7" x14ac:dyDescent="0.4">
      <c r="A61" s="40">
        <v>1</v>
      </c>
      <c r="B61" s="43">
        <v>12</v>
      </c>
      <c r="C61" s="43">
        <v>10</v>
      </c>
      <c r="D61" s="41">
        <f>B61-C61</f>
        <v>2</v>
      </c>
      <c r="E61" s="48">
        <f>D61-2.6</f>
        <v>-0.60000000000000009</v>
      </c>
      <c r="F61">
        <f>ABS(E61)</f>
        <v>0.60000000000000009</v>
      </c>
      <c r="G61">
        <f>E61*E61</f>
        <v>0.3600000000000001</v>
      </c>
    </row>
    <row r="62" spans="1:7" x14ac:dyDescent="0.4">
      <c r="A62" s="40">
        <v>2</v>
      </c>
      <c r="B62" s="43">
        <v>16</v>
      </c>
      <c r="C62" s="43">
        <v>12</v>
      </c>
      <c r="D62" s="41">
        <f t="shared" ref="D62:D70" si="2">B62-C62</f>
        <v>4</v>
      </c>
      <c r="E62" s="48">
        <f t="shared" ref="E62:E70" si="3">D62-2.6</f>
        <v>1.4</v>
      </c>
      <c r="F62">
        <f t="shared" ref="F62:F70" si="4">ABS(E62)</f>
        <v>1.4</v>
      </c>
      <c r="G62">
        <f t="shared" ref="G62:G70" si="5">E62*E62</f>
        <v>1.9599999999999997</v>
      </c>
    </row>
    <row r="63" spans="1:7" x14ac:dyDescent="0.4">
      <c r="A63" s="40">
        <v>3</v>
      </c>
      <c r="B63" s="43">
        <v>12</v>
      </c>
      <c r="C63" s="43">
        <v>10</v>
      </c>
      <c r="D63" s="41">
        <f t="shared" si="2"/>
        <v>2</v>
      </c>
      <c r="E63" s="48">
        <f t="shared" si="3"/>
        <v>-0.60000000000000009</v>
      </c>
      <c r="F63">
        <f t="shared" si="4"/>
        <v>0.60000000000000009</v>
      </c>
      <c r="G63">
        <f t="shared" si="5"/>
        <v>0.3600000000000001</v>
      </c>
    </row>
    <row r="64" spans="1:7" x14ac:dyDescent="0.4">
      <c r="A64" s="40">
        <v>4</v>
      </c>
      <c r="B64" s="43">
        <v>14</v>
      </c>
      <c r="C64" s="43">
        <v>10</v>
      </c>
      <c r="D64" s="41">
        <f t="shared" si="2"/>
        <v>4</v>
      </c>
      <c r="E64" s="48">
        <f t="shared" si="3"/>
        <v>1.4</v>
      </c>
      <c r="F64">
        <f t="shared" si="4"/>
        <v>1.4</v>
      </c>
      <c r="G64">
        <f t="shared" si="5"/>
        <v>1.9599999999999997</v>
      </c>
    </row>
    <row r="65" spans="1:7" x14ac:dyDescent="0.4">
      <c r="A65" s="40">
        <v>5</v>
      </c>
      <c r="B65" s="43">
        <v>14</v>
      </c>
      <c r="C65" s="43">
        <v>12</v>
      </c>
      <c r="D65" s="41">
        <f t="shared" si="2"/>
        <v>2</v>
      </c>
      <c r="E65" s="48">
        <f t="shared" si="3"/>
        <v>-0.60000000000000009</v>
      </c>
      <c r="F65">
        <f t="shared" si="4"/>
        <v>0.60000000000000009</v>
      </c>
      <c r="G65">
        <f t="shared" si="5"/>
        <v>0.3600000000000001</v>
      </c>
    </row>
    <row r="66" spans="1:7" x14ac:dyDescent="0.4">
      <c r="A66" s="40">
        <v>6</v>
      </c>
      <c r="B66" s="43">
        <v>12</v>
      </c>
      <c r="C66" s="43">
        <v>12</v>
      </c>
      <c r="D66" s="41">
        <f t="shared" si="2"/>
        <v>0</v>
      </c>
      <c r="E66" s="48">
        <f t="shared" si="3"/>
        <v>-2.6</v>
      </c>
      <c r="F66">
        <f t="shared" si="4"/>
        <v>2.6</v>
      </c>
      <c r="G66">
        <f t="shared" si="5"/>
        <v>6.7600000000000007</v>
      </c>
    </row>
    <row r="67" spans="1:7" x14ac:dyDescent="0.4">
      <c r="A67" s="40">
        <v>7</v>
      </c>
      <c r="B67" s="43">
        <v>12</v>
      </c>
      <c r="C67" s="43">
        <v>8</v>
      </c>
      <c r="D67" s="41">
        <f t="shared" si="2"/>
        <v>4</v>
      </c>
      <c r="E67" s="48">
        <f t="shared" si="3"/>
        <v>1.4</v>
      </c>
      <c r="F67">
        <f t="shared" si="4"/>
        <v>1.4</v>
      </c>
      <c r="G67">
        <f t="shared" si="5"/>
        <v>1.9599999999999997</v>
      </c>
    </row>
    <row r="68" spans="1:7" x14ac:dyDescent="0.4">
      <c r="A68" s="40">
        <v>8</v>
      </c>
      <c r="B68" s="43">
        <v>16</v>
      </c>
      <c r="C68" s="43">
        <v>12</v>
      </c>
      <c r="D68" s="41">
        <f t="shared" si="2"/>
        <v>4</v>
      </c>
      <c r="E68" s="48">
        <f t="shared" si="3"/>
        <v>1.4</v>
      </c>
      <c r="F68">
        <f t="shared" si="4"/>
        <v>1.4</v>
      </c>
      <c r="G68">
        <f t="shared" si="5"/>
        <v>1.9599999999999997</v>
      </c>
    </row>
    <row r="69" spans="1:7" x14ac:dyDescent="0.4">
      <c r="A69" s="40">
        <v>9</v>
      </c>
      <c r="B69" s="43">
        <v>16</v>
      </c>
      <c r="C69" s="43">
        <v>14</v>
      </c>
      <c r="D69" s="41">
        <f t="shared" si="2"/>
        <v>2</v>
      </c>
      <c r="E69" s="48">
        <f t="shared" si="3"/>
        <v>-0.60000000000000009</v>
      </c>
      <c r="F69">
        <f t="shared" si="4"/>
        <v>0.60000000000000009</v>
      </c>
      <c r="G69">
        <f t="shared" si="5"/>
        <v>0.3600000000000001</v>
      </c>
    </row>
    <row r="70" spans="1:7" x14ac:dyDescent="0.4">
      <c r="A70" s="40">
        <v>10</v>
      </c>
      <c r="B70" s="43">
        <v>12</v>
      </c>
      <c r="C70" s="43">
        <v>10</v>
      </c>
      <c r="D70" s="41">
        <f t="shared" si="2"/>
        <v>2</v>
      </c>
      <c r="E70" s="48">
        <f t="shared" si="3"/>
        <v>-0.60000000000000009</v>
      </c>
      <c r="F70">
        <f t="shared" si="4"/>
        <v>0.60000000000000009</v>
      </c>
      <c r="G70">
        <f t="shared" si="5"/>
        <v>0.3600000000000001</v>
      </c>
    </row>
    <row r="71" spans="1:7" x14ac:dyDescent="0.4">
      <c r="C71" t="s">
        <v>32</v>
      </c>
      <c r="D71" s="47">
        <f>AVERAGE(D61:D70)</f>
        <v>2.6</v>
      </c>
      <c r="E71" s="16">
        <f>SUM(E61:E70)</f>
        <v>-8.8817841970012523E-16</v>
      </c>
      <c r="F71" t="s">
        <v>49</v>
      </c>
      <c r="G71" s="15">
        <f>SUM(G61:G70)</f>
        <v>16.399999999999999</v>
      </c>
    </row>
    <row r="73" spans="1:7" x14ac:dyDescent="0.4">
      <c r="D73" t="s">
        <v>45</v>
      </c>
      <c r="F73" s="51">
        <f>SUM(F61:F70)/10</f>
        <v>1.1199999999999999</v>
      </c>
    </row>
    <row r="75" spans="1:7" x14ac:dyDescent="0.4">
      <c r="F75" s="15" t="s">
        <v>50</v>
      </c>
      <c r="G75" s="15">
        <f>G71/9</f>
        <v>1.822222222222222</v>
      </c>
    </row>
    <row r="76" spans="1:7" x14ac:dyDescent="0.4">
      <c r="D76" s="15">
        <f>STDEV(D61:D70)</f>
        <v>1.3498971154211061</v>
      </c>
      <c r="F76" s="15" t="s">
        <v>51</v>
      </c>
      <c r="G76" s="51">
        <f>SQRT(G75)</f>
        <v>1.3498971154211057</v>
      </c>
    </row>
  </sheetData>
  <mergeCells count="2">
    <mergeCell ref="B10:E10"/>
    <mergeCell ref="A1:B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AF66-5BDB-4EFD-8A08-79F5820C04F9}">
  <dimension ref="A1:M151"/>
  <sheetViews>
    <sheetView topLeftCell="A28" zoomScale="120" zoomScaleNormal="120" workbookViewId="0">
      <selection activeCell="E12" sqref="E12"/>
    </sheetView>
  </sheetViews>
  <sheetFormatPr defaultRowHeight="14.6" x14ac:dyDescent="0.4"/>
  <cols>
    <col min="3" max="3" width="10.4609375" customWidth="1"/>
    <col min="12" max="12" width="12.84375" customWidth="1"/>
  </cols>
  <sheetData>
    <row r="1" spans="1:13" x14ac:dyDescent="0.4">
      <c r="A1" s="15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s="15" t="s">
        <v>27</v>
      </c>
      <c r="J1" s="15" t="s">
        <v>19</v>
      </c>
      <c r="K1" s="15" t="s">
        <v>20</v>
      </c>
      <c r="L1" s="15" t="s">
        <v>21</v>
      </c>
      <c r="M1" s="15" t="s">
        <v>22</v>
      </c>
    </row>
    <row r="2" spans="1:13" x14ac:dyDescent="0.4">
      <c r="B2">
        <v>1</v>
      </c>
      <c r="C2">
        <v>5.0999999999999996</v>
      </c>
      <c r="D2">
        <v>3.5</v>
      </c>
      <c r="E2">
        <v>1.4</v>
      </c>
      <c r="F2">
        <v>0.2</v>
      </c>
      <c r="G2" t="s">
        <v>24</v>
      </c>
      <c r="I2" t="s">
        <v>28</v>
      </c>
      <c r="J2">
        <f>MAX(C2:C151)</f>
        <v>7.9</v>
      </c>
      <c r="K2">
        <f>MAX(D2:D151)</f>
        <v>4.4000000000000004</v>
      </c>
      <c r="L2">
        <f>MAX(E2:E151)</f>
        <v>6.9</v>
      </c>
      <c r="M2">
        <f>MAX(F2:F151)</f>
        <v>2.5</v>
      </c>
    </row>
    <row r="3" spans="1:13" x14ac:dyDescent="0.4">
      <c r="B3">
        <v>2</v>
      </c>
      <c r="C3">
        <v>4.9000000000000004</v>
      </c>
      <c r="D3">
        <v>3</v>
      </c>
      <c r="E3">
        <v>1.4</v>
      </c>
      <c r="F3">
        <v>0.2</v>
      </c>
      <c r="G3" t="s">
        <v>24</v>
      </c>
      <c r="I3" t="s">
        <v>29</v>
      </c>
      <c r="J3">
        <f>MIN(C2:C151)</f>
        <v>4.3</v>
      </c>
      <c r="K3">
        <f>MIN(D2:D151)</f>
        <v>2</v>
      </c>
      <c r="L3">
        <f>MIN(E2:E151)</f>
        <v>1</v>
      </c>
      <c r="M3">
        <f>MIN(F2:F151)</f>
        <v>0.1</v>
      </c>
    </row>
    <row r="4" spans="1:13" x14ac:dyDescent="0.4">
      <c r="B4">
        <v>3</v>
      </c>
      <c r="C4">
        <v>4.7</v>
      </c>
      <c r="D4">
        <v>3.2</v>
      </c>
      <c r="E4">
        <v>1.3</v>
      </c>
      <c r="F4">
        <v>0.2</v>
      </c>
      <c r="G4" t="s">
        <v>24</v>
      </c>
      <c r="I4" s="15" t="s">
        <v>30</v>
      </c>
      <c r="J4" s="15">
        <f>J2-J3</f>
        <v>3.6000000000000005</v>
      </c>
      <c r="K4" s="15">
        <f>K2-K3</f>
        <v>2.4000000000000004</v>
      </c>
      <c r="L4" s="15">
        <f>L2-L3</f>
        <v>5.9</v>
      </c>
      <c r="M4" s="15">
        <f>M2-M3</f>
        <v>2.4</v>
      </c>
    </row>
    <row r="5" spans="1:13" x14ac:dyDescent="0.4">
      <c r="B5">
        <v>4</v>
      </c>
      <c r="C5">
        <v>4.5999999999999996</v>
      </c>
      <c r="D5">
        <v>3.1</v>
      </c>
      <c r="E5">
        <v>1.5</v>
      </c>
      <c r="F5">
        <v>0.2</v>
      </c>
      <c r="G5" t="s">
        <v>24</v>
      </c>
      <c r="I5" t="s">
        <v>32</v>
      </c>
      <c r="J5" s="16">
        <f>AVERAGE(C2:C151)</f>
        <v>5.8433333333333346</v>
      </c>
      <c r="K5" s="16">
        <f>AVERAGE(D2:D151)</f>
        <v>3.0573333333333341</v>
      </c>
      <c r="L5" s="46">
        <f>AVERAGE(E2:E151)</f>
        <v>3.7580000000000027</v>
      </c>
      <c r="M5" s="16">
        <f>AVERAGE(F2:F151)</f>
        <v>1.199333333333334</v>
      </c>
    </row>
    <row r="6" spans="1:13" x14ac:dyDescent="0.4">
      <c r="B6">
        <v>5</v>
      </c>
      <c r="C6">
        <v>5</v>
      </c>
      <c r="D6">
        <v>3.6</v>
      </c>
      <c r="E6">
        <v>1.4</v>
      </c>
      <c r="F6">
        <v>0.2</v>
      </c>
      <c r="G6" t="s">
        <v>24</v>
      </c>
      <c r="I6" t="s">
        <v>33</v>
      </c>
      <c r="J6" s="16">
        <f>MEDIAN(C2:C151)</f>
        <v>5.8</v>
      </c>
      <c r="K6" s="16">
        <f>MEDIAN(D2:D151)</f>
        <v>3</v>
      </c>
      <c r="L6" s="46">
        <f>MEDIAN(E2:E151)</f>
        <v>4.3499999999999996</v>
      </c>
      <c r="M6" s="16">
        <f>MEDIAN(F2:F151)</f>
        <v>1.3</v>
      </c>
    </row>
    <row r="7" spans="1:13" x14ac:dyDescent="0.4">
      <c r="B7">
        <v>6</v>
      </c>
      <c r="C7">
        <v>5.4</v>
      </c>
      <c r="D7">
        <v>3.9</v>
      </c>
      <c r="E7">
        <v>1.7</v>
      </c>
      <c r="F7">
        <v>0.4</v>
      </c>
      <c r="G7" t="s">
        <v>24</v>
      </c>
      <c r="H7" s="15" t="s">
        <v>31</v>
      </c>
      <c r="I7" s="15">
        <v>0.25</v>
      </c>
      <c r="J7">
        <f>PERCENTILE(C2:C151,I7)</f>
        <v>5.0999999999999996</v>
      </c>
      <c r="K7">
        <f>PERCENTILE(D2:D151,I7)</f>
        <v>2.8</v>
      </c>
      <c r="L7">
        <f>PERCENTILE(E2:E151,I7)</f>
        <v>1.6</v>
      </c>
      <c r="M7">
        <f>PERCENTILE(F2:F151,I7)</f>
        <v>0.3</v>
      </c>
    </row>
    <row r="8" spans="1:13" x14ac:dyDescent="0.4">
      <c r="B8">
        <v>7</v>
      </c>
      <c r="C8">
        <v>4.5999999999999996</v>
      </c>
      <c r="D8">
        <v>3.4</v>
      </c>
      <c r="E8">
        <v>1.4</v>
      </c>
      <c r="F8">
        <v>0.3</v>
      </c>
      <c r="G8" t="s">
        <v>24</v>
      </c>
      <c r="I8" s="15">
        <v>0.5</v>
      </c>
      <c r="J8">
        <f>PERCENTILE(C2:C151,I8)</f>
        <v>5.8</v>
      </c>
      <c r="K8">
        <f>PERCENTILE(D2:D151,I8)</f>
        <v>3</v>
      </c>
      <c r="L8">
        <f>PERCENTILE(E2:E151,I8)</f>
        <v>4.3499999999999996</v>
      </c>
      <c r="M8">
        <f>PERCENTILE(F2:F151,I8)</f>
        <v>1.3</v>
      </c>
    </row>
    <row r="9" spans="1:13" x14ac:dyDescent="0.4">
      <c r="B9">
        <v>8</v>
      </c>
      <c r="C9">
        <v>5</v>
      </c>
      <c r="D9">
        <v>3.4</v>
      </c>
      <c r="E9">
        <v>1.5</v>
      </c>
      <c r="F9">
        <v>0.2</v>
      </c>
      <c r="G9" t="s">
        <v>24</v>
      </c>
      <c r="I9" s="15">
        <v>0.75</v>
      </c>
      <c r="J9">
        <f>PERCENTILE(C2:C151,I9)</f>
        <v>6.4</v>
      </c>
      <c r="K9">
        <f>PERCENTILE(D2:D151,I9)</f>
        <v>3.3</v>
      </c>
      <c r="L9">
        <f>PERCENTILE(E2:E151,I9)</f>
        <v>5.0999999999999996</v>
      </c>
      <c r="M9">
        <f>PERCENTILE(F2:F151,I9)</f>
        <v>1.8</v>
      </c>
    </row>
    <row r="10" spans="1:13" x14ac:dyDescent="0.4">
      <c r="B10">
        <v>9</v>
      </c>
      <c r="C10">
        <v>4.4000000000000004</v>
      </c>
      <c r="D10">
        <v>2.9</v>
      </c>
      <c r="E10">
        <v>1.4</v>
      </c>
      <c r="F10">
        <v>0.2</v>
      </c>
      <c r="G10" t="s">
        <v>24</v>
      </c>
    </row>
    <row r="11" spans="1:13" x14ac:dyDescent="0.4">
      <c r="B11">
        <v>10</v>
      </c>
      <c r="C11">
        <v>4.9000000000000004</v>
      </c>
      <c r="D11">
        <v>3.1</v>
      </c>
      <c r="E11">
        <v>1.5</v>
      </c>
      <c r="F11">
        <v>0.1</v>
      </c>
      <c r="G11" t="s">
        <v>24</v>
      </c>
    </row>
    <row r="12" spans="1:13" x14ac:dyDescent="0.4">
      <c r="B12">
        <v>11</v>
      </c>
      <c r="C12">
        <v>5.4</v>
      </c>
      <c r="D12">
        <v>3.7</v>
      </c>
      <c r="E12">
        <v>1.5</v>
      </c>
      <c r="F12">
        <v>0.2</v>
      </c>
      <c r="G12" t="s">
        <v>24</v>
      </c>
      <c r="H12" s="15" t="s">
        <v>27</v>
      </c>
      <c r="J12" s="15" t="s">
        <v>19</v>
      </c>
      <c r="K12" s="15" t="s">
        <v>20</v>
      </c>
      <c r="L12" s="15" t="s">
        <v>21</v>
      </c>
      <c r="M12" s="15" t="s">
        <v>22</v>
      </c>
    </row>
    <row r="13" spans="1:13" x14ac:dyDescent="0.4">
      <c r="B13">
        <v>12</v>
      </c>
      <c r="C13">
        <v>4.8</v>
      </c>
      <c r="D13">
        <v>3.4</v>
      </c>
      <c r="E13">
        <v>1.6</v>
      </c>
      <c r="F13">
        <v>0.2</v>
      </c>
      <c r="G13" t="s">
        <v>24</v>
      </c>
      <c r="I13" t="s">
        <v>28</v>
      </c>
    </row>
    <row r="14" spans="1:13" x14ac:dyDescent="0.4">
      <c r="B14">
        <v>13</v>
      </c>
      <c r="C14">
        <v>4.8</v>
      </c>
      <c r="D14">
        <v>3</v>
      </c>
      <c r="E14">
        <v>1.4</v>
      </c>
      <c r="F14">
        <v>0.1</v>
      </c>
      <c r="G14" t="s">
        <v>24</v>
      </c>
      <c r="I14" t="s">
        <v>29</v>
      </c>
    </row>
    <row r="15" spans="1:13" x14ac:dyDescent="0.4">
      <c r="B15">
        <v>14</v>
      </c>
      <c r="C15">
        <v>4.3</v>
      </c>
      <c r="D15">
        <v>3</v>
      </c>
      <c r="E15">
        <v>1.1000000000000001</v>
      </c>
      <c r="F15">
        <v>0.1</v>
      </c>
      <c r="G15" t="s">
        <v>24</v>
      </c>
      <c r="I15" s="15" t="s">
        <v>30</v>
      </c>
      <c r="K15" s="15"/>
      <c r="L15" s="15"/>
      <c r="M15" s="15"/>
    </row>
    <row r="16" spans="1:13" x14ac:dyDescent="0.4">
      <c r="B16">
        <v>15</v>
      </c>
      <c r="C16">
        <v>5.8</v>
      </c>
      <c r="D16">
        <v>4</v>
      </c>
      <c r="E16">
        <v>1.2</v>
      </c>
      <c r="F16">
        <v>0.2</v>
      </c>
      <c r="G16" t="s">
        <v>24</v>
      </c>
      <c r="I16" t="s">
        <v>32</v>
      </c>
      <c r="J16" s="16"/>
      <c r="K16" s="16"/>
      <c r="L16" s="46"/>
      <c r="M16" s="16"/>
    </row>
    <row r="17" spans="2:13" x14ac:dyDescent="0.4">
      <c r="B17">
        <v>16</v>
      </c>
      <c r="C17">
        <v>5.7</v>
      </c>
      <c r="D17">
        <v>4.4000000000000004</v>
      </c>
      <c r="E17">
        <v>1.5</v>
      </c>
      <c r="F17">
        <v>0.4</v>
      </c>
      <c r="G17" t="s">
        <v>24</v>
      </c>
      <c r="I17" t="s">
        <v>33</v>
      </c>
      <c r="J17" s="16"/>
      <c r="K17" s="16"/>
      <c r="L17" s="46"/>
      <c r="M17" s="16"/>
    </row>
    <row r="18" spans="2:13" x14ac:dyDescent="0.4">
      <c r="B18">
        <v>17</v>
      </c>
      <c r="C18">
        <v>5.4</v>
      </c>
      <c r="D18">
        <v>3.9</v>
      </c>
      <c r="E18">
        <v>1.3</v>
      </c>
      <c r="F18">
        <v>0.4</v>
      </c>
      <c r="G18" t="s">
        <v>24</v>
      </c>
      <c r="H18" s="15" t="s">
        <v>31</v>
      </c>
      <c r="I18" s="15">
        <v>0.25</v>
      </c>
      <c r="J18" s="15"/>
      <c r="K18" s="15"/>
    </row>
    <row r="19" spans="2:13" x14ac:dyDescent="0.4">
      <c r="B19">
        <v>18</v>
      </c>
      <c r="C19">
        <v>5.0999999999999996</v>
      </c>
      <c r="D19">
        <v>3.5</v>
      </c>
      <c r="E19">
        <v>1.4</v>
      </c>
      <c r="F19">
        <v>0.3</v>
      </c>
      <c r="G19" t="s">
        <v>24</v>
      </c>
      <c r="I19" s="15">
        <v>0.5</v>
      </c>
    </row>
    <row r="20" spans="2:13" x14ac:dyDescent="0.4">
      <c r="B20">
        <v>19</v>
      </c>
      <c r="C20">
        <v>5.7</v>
      </c>
      <c r="D20">
        <v>3.8</v>
      </c>
      <c r="E20">
        <v>1.7</v>
      </c>
      <c r="F20">
        <v>0.3</v>
      </c>
      <c r="G20" t="s">
        <v>24</v>
      </c>
      <c r="I20" s="15">
        <v>0.75</v>
      </c>
      <c r="J20" s="15"/>
      <c r="K20" s="15"/>
    </row>
    <row r="21" spans="2:13" x14ac:dyDescent="0.4">
      <c r="B21">
        <v>20</v>
      </c>
      <c r="C21">
        <v>5.0999999999999996</v>
      </c>
      <c r="D21">
        <v>3.8</v>
      </c>
      <c r="E21">
        <v>1.5</v>
      </c>
      <c r="F21">
        <v>0.3</v>
      </c>
      <c r="G21" t="s">
        <v>24</v>
      </c>
    </row>
    <row r="22" spans="2:13" x14ac:dyDescent="0.4">
      <c r="B22">
        <v>21</v>
      </c>
      <c r="C22">
        <v>5.4</v>
      </c>
      <c r="D22">
        <v>3.4</v>
      </c>
      <c r="E22">
        <v>1.7</v>
      </c>
      <c r="F22">
        <v>0.2</v>
      </c>
      <c r="G22" t="s">
        <v>24</v>
      </c>
      <c r="I22" s="15" t="s">
        <v>58</v>
      </c>
      <c r="K22" s="15"/>
      <c r="L22" s="15"/>
    </row>
    <row r="23" spans="2:13" x14ac:dyDescent="0.4">
      <c r="B23">
        <v>22</v>
      </c>
      <c r="C23">
        <v>5.0999999999999996</v>
      </c>
      <c r="D23">
        <v>3.7</v>
      </c>
      <c r="E23">
        <v>1.5</v>
      </c>
      <c r="F23">
        <v>0.4</v>
      </c>
      <c r="G23" t="s">
        <v>24</v>
      </c>
    </row>
    <row r="24" spans="2:13" x14ac:dyDescent="0.4">
      <c r="B24">
        <v>23</v>
      </c>
      <c r="C24">
        <v>4.5999999999999996</v>
      </c>
      <c r="D24">
        <v>3.6</v>
      </c>
      <c r="E24">
        <v>1</v>
      </c>
      <c r="F24">
        <v>0.2</v>
      </c>
      <c r="G24" t="s">
        <v>24</v>
      </c>
    </row>
    <row r="25" spans="2:13" x14ac:dyDescent="0.4">
      <c r="B25">
        <v>24</v>
      </c>
      <c r="C25">
        <v>5.0999999999999996</v>
      </c>
      <c r="D25">
        <v>3.3</v>
      </c>
      <c r="E25">
        <v>1.7</v>
      </c>
      <c r="F25">
        <v>0.5</v>
      </c>
      <c r="G25" t="s">
        <v>24</v>
      </c>
    </row>
    <row r="26" spans="2:13" x14ac:dyDescent="0.4">
      <c r="B26">
        <v>25</v>
      </c>
      <c r="C26">
        <v>4.8</v>
      </c>
      <c r="D26">
        <v>3.4</v>
      </c>
      <c r="E26">
        <v>1.9</v>
      </c>
      <c r="F26">
        <v>0.2</v>
      </c>
      <c r="G26" t="s">
        <v>24</v>
      </c>
    </row>
    <row r="27" spans="2:13" x14ac:dyDescent="0.4">
      <c r="B27">
        <v>26</v>
      </c>
      <c r="C27">
        <v>5</v>
      </c>
      <c r="D27">
        <v>3</v>
      </c>
      <c r="E27">
        <v>1.6</v>
      </c>
      <c r="F27">
        <v>0.2</v>
      </c>
      <c r="G27" t="s">
        <v>24</v>
      </c>
    </row>
    <row r="28" spans="2:13" x14ac:dyDescent="0.4">
      <c r="B28">
        <v>27</v>
      </c>
      <c r="C28">
        <v>5</v>
      </c>
      <c r="D28">
        <v>3.4</v>
      </c>
      <c r="E28">
        <v>1.6</v>
      </c>
      <c r="F28">
        <v>0.4</v>
      </c>
      <c r="G28" t="s">
        <v>24</v>
      </c>
    </row>
    <row r="29" spans="2:13" x14ac:dyDescent="0.4">
      <c r="B29">
        <v>28</v>
      </c>
      <c r="C29">
        <v>5.2</v>
      </c>
      <c r="D29">
        <v>3.5</v>
      </c>
      <c r="E29">
        <v>1.5</v>
      </c>
      <c r="F29">
        <v>0.2</v>
      </c>
      <c r="G29" t="s">
        <v>24</v>
      </c>
    </row>
    <row r="30" spans="2:13" x14ac:dyDescent="0.4">
      <c r="B30">
        <v>29</v>
      </c>
      <c r="C30">
        <v>5.2</v>
      </c>
      <c r="D30">
        <v>3.4</v>
      </c>
      <c r="E30">
        <v>1.4</v>
      </c>
      <c r="F30">
        <v>0.2</v>
      </c>
      <c r="G30" t="s">
        <v>24</v>
      </c>
    </row>
    <row r="31" spans="2:13" x14ac:dyDescent="0.4">
      <c r="B31">
        <v>30</v>
      </c>
      <c r="C31">
        <v>4.7</v>
      </c>
      <c r="D31">
        <v>3.2</v>
      </c>
      <c r="E31">
        <v>1.6</v>
      </c>
      <c r="F31">
        <v>0.2</v>
      </c>
      <c r="G31" t="s">
        <v>24</v>
      </c>
    </row>
    <row r="32" spans="2:13" x14ac:dyDescent="0.4">
      <c r="B32">
        <v>31</v>
      </c>
      <c r="C32">
        <v>4.8</v>
      </c>
      <c r="D32">
        <v>3.1</v>
      </c>
      <c r="E32">
        <v>1.6</v>
      </c>
      <c r="F32">
        <v>0.2</v>
      </c>
      <c r="G32" t="s">
        <v>24</v>
      </c>
    </row>
    <row r="33" spans="2:7" x14ac:dyDescent="0.4">
      <c r="B33">
        <v>32</v>
      </c>
      <c r="C33">
        <v>5.4</v>
      </c>
      <c r="D33">
        <v>3.4</v>
      </c>
      <c r="E33">
        <v>1.5</v>
      </c>
      <c r="F33">
        <v>0.4</v>
      </c>
      <c r="G33" t="s">
        <v>24</v>
      </c>
    </row>
    <row r="34" spans="2:7" x14ac:dyDescent="0.4">
      <c r="B34">
        <v>33</v>
      </c>
      <c r="C34">
        <v>5.2</v>
      </c>
      <c r="D34">
        <v>4.0999999999999996</v>
      </c>
      <c r="E34">
        <v>1.5</v>
      </c>
      <c r="F34">
        <v>0.1</v>
      </c>
      <c r="G34" t="s">
        <v>24</v>
      </c>
    </row>
    <row r="35" spans="2:7" x14ac:dyDescent="0.4">
      <c r="B35">
        <v>34</v>
      </c>
      <c r="C35">
        <v>5.5</v>
      </c>
      <c r="D35">
        <v>4.2</v>
      </c>
      <c r="E35">
        <v>1.4</v>
      </c>
      <c r="F35">
        <v>0.2</v>
      </c>
      <c r="G35" t="s">
        <v>24</v>
      </c>
    </row>
    <row r="36" spans="2:7" x14ac:dyDescent="0.4">
      <c r="B36">
        <v>35</v>
      </c>
      <c r="C36">
        <v>4.9000000000000004</v>
      </c>
      <c r="D36">
        <v>3.1</v>
      </c>
      <c r="E36">
        <v>1.5</v>
      </c>
      <c r="F36">
        <v>0.2</v>
      </c>
      <c r="G36" t="s">
        <v>24</v>
      </c>
    </row>
    <row r="37" spans="2:7" x14ac:dyDescent="0.4">
      <c r="B37">
        <v>36</v>
      </c>
      <c r="C37">
        <v>5</v>
      </c>
      <c r="D37">
        <v>3.2</v>
      </c>
      <c r="E37">
        <v>1.2</v>
      </c>
      <c r="F37">
        <v>0.2</v>
      </c>
      <c r="G37" t="s">
        <v>24</v>
      </c>
    </row>
    <row r="38" spans="2:7" x14ac:dyDescent="0.4">
      <c r="B38">
        <v>37</v>
      </c>
      <c r="C38">
        <v>5.5</v>
      </c>
      <c r="D38">
        <v>3.5</v>
      </c>
      <c r="E38">
        <v>1.3</v>
      </c>
      <c r="F38">
        <v>0.2</v>
      </c>
      <c r="G38" t="s">
        <v>24</v>
      </c>
    </row>
    <row r="39" spans="2:7" x14ac:dyDescent="0.4">
      <c r="B39">
        <v>38</v>
      </c>
      <c r="C39">
        <v>4.9000000000000004</v>
      </c>
      <c r="D39">
        <v>3.6</v>
      </c>
      <c r="E39">
        <v>1.4</v>
      </c>
      <c r="F39">
        <v>0.1</v>
      </c>
      <c r="G39" t="s">
        <v>24</v>
      </c>
    </row>
    <row r="40" spans="2:7" x14ac:dyDescent="0.4">
      <c r="B40">
        <v>39</v>
      </c>
      <c r="C40">
        <v>4.4000000000000004</v>
      </c>
      <c r="D40">
        <v>3</v>
      </c>
      <c r="E40">
        <v>1.3</v>
      </c>
      <c r="F40">
        <v>0.2</v>
      </c>
      <c r="G40" t="s">
        <v>24</v>
      </c>
    </row>
    <row r="41" spans="2:7" x14ac:dyDescent="0.4">
      <c r="B41">
        <v>40</v>
      </c>
      <c r="C41">
        <v>5.0999999999999996</v>
      </c>
      <c r="D41">
        <v>3.4</v>
      </c>
      <c r="E41">
        <v>1.5</v>
      </c>
      <c r="F41">
        <v>0.2</v>
      </c>
      <c r="G41" t="s">
        <v>24</v>
      </c>
    </row>
    <row r="42" spans="2:7" x14ac:dyDescent="0.4">
      <c r="B42">
        <v>41</v>
      </c>
      <c r="C42">
        <v>5</v>
      </c>
      <c r="D42">
        <v>3.5</v>
      </c>
      <c r="E42">
        <v>1.3</v>
      </c>
      <c r="F42">
        <v>0.3</v>
      </c>
      <c r="G42" t="s">
        <v>24</v>
      </c>
    </row>
    <row r="43" spans="2:7" x14ac:dyDescent="0.4">
      <c r="B43">
        <v>42</v>
      </c>
      <c r="C43">
        <v>4.5</v>
      </c>
      <c r="D43">
        <v>2.2999999999999998</v>
      </c>
      <c r="E43">
        <v>1.3</v>
      </c>
      <c r="F43">
        <v>0.3</v>
      </c>
      <c r="G43" t="s">
        <v>24</v>
      </c>
    </row>
    <row r="44" spans="2:7" x14ac:dyDescent="0.4">
      <c r="B44">
        <v>43</v>
      </c>
      <c r="C44">
        <v>4.4000000000000004</v>
      </c>
      <c r="D44">
        <v>3.2</v>
      </c>
      <c r="E44">
        <v>1.3</v>
      </c>
      <c r="F44">
        <v>0.2</v>
      </c>
      <c r="G44" t="s">
        <v>24</v>
      </c>
    </row>
    <row r="45" spans="2:7" x14ac:dyDescent="0.4">
      <c r="B45">
        <v>44</v>
      </c>
      <c r="C45">
        <v>5</v>
      </c>
      <c r="D45">
        <v>3.5</v>
      </c>
      <c r="E45">
        <v>1.6</v>
      </c>
      <c r="F45">
        <v>0.6</v>
      </c>
      <c r="G45" t="s">
        <v>24</v>
      </c>
    </row>
    <row r="46" spans="2:7" x14ac:dyDescent="0.4">
      <c r="B46">
        <v>45</v>
      </c>
      <c r="C46">
        <v>5.0999999999999996</v>
      </c>
      <c r="D46">
        <v>3.8</v>
      </c>
      <c r="E46">
        <v>1.9</v>
      </c>
      <c r="F46">
        <v>0.4</v>
      </c>
      <c r="G46" t="s">
        <v>24</v>
      </c>
    </row>
    <row r="47" spans="2:7" x14ac:dyDescent="0.4">
      <c r="B47">
        <v>46</v>
      </c>
      <c r="C47">
        <v>4.8</v>
      </c>
      <c r="D47">
        <v>3</v>
      </c>
      <c r="E47">
        <v>1.4</v>
      </c>
      <c r="F47">
        <v>0.3</v>
      </c>
      <c r="G47" t="s">
        <v>24</v>
      </c>
    </row>
    <row r="48" spans="2:7" x14ac:dyDescent="0.4">
      <c r="B48">
        <v>47</v>
      </c>
      <c r="C48">
        <v>5.0999999999999996</v>
      </c>
      <c r="D48">
        <v>3.8</v>
      </c>
      <c r="E48">
        <v>1.6</v>
      </c>
      <c r="F48">
        <v>0.2</v>
      </c>
      <c r="G48" t="s">
        <v>24</v>
      </c>
    </row>
    <row r="49" spans="2:7" x14ac:dyDescent="0.4">
      <c r="B49">
        <v>48</v>
      </c>
      <c r="C49">
        <v>4.5999999999999996</v>
      </c>
      <c r="D49">
        <v>3.2</v>
      </c>
      <c r="E49">
        <v>1.4</v>
      </c>
      <c r="F49">
        <v>0.2</v>
      </c>
      <c r="G49" t="s">
        <v>24</v>
      </c>
    </row>
    <row r="50" spans="2:7" x14ac:dyDescent="0.4">
      <c r="B50">
        <v>49</v>
      </c>
      <c r="C50">
        <v>5.3</v>
      </c>
      <c r="D50">
        <v>3.7</v>
      </c>
      <c r="E50">
        <v>1.5</v>
      </c>
      <c r="F50">
        <v>0.2</v>
      </c>
      <c r="G50" t="s">
        <v>24</v>
      </c>
    </row>
    <row r="51" spans="2:7" x14ac:dyDescent="0.4">
      <c r="B51">
        <v>50</v>
      </c>
      <c r="C51">
        <v>5</v>
      </c>
      <c r="D51">
        <v>3.3</v>
      </c>
      <c r="E51">
        <v>1.4</v>
      </c>
      <c r="F51">
        <v>0.2</v>
      </c>
      <c r="G51" t="s">
        <v>24</v>
      </c>
    </row>
    <row r="52" spans="2:7" x14ac:dyDescent="0.4">
      <c r="B52">
        <v>51</v>
      </c>
      <c r="C52">
        <v>7</v>
      </c>
      <c r="D52">
        <v>3.2</v>
      </c>
      <c r="E52">
        <v>4.7</v>
      </c>
      <c r="F52">
        <v>1.4</v>
      </c>
      <c r="G52" t="s">
        <v>25</v>
      </c>
    </row>
    <row r="53" spans="2:7" x14ac:dyDescent="0.4">
      <c r="B53">
        <v>52</v>
      </c>
      <c r="C53">
        <v>6.4</v>
      </c>
      <c r="D53">
        <v>3.2</v>
      </c>
      <c r="E53">
        <v>4.5</v>
      </c>
      <c r="F53">
        <v>1.5</v>
      </c>
      <c r="G53" t="s">
        <v>25</v>
      </c>
    </row>
    <row r="54" spans="2:7" x14ac:dyDescent="0.4">
      <c r="B54">
        <v>53</v>
      </c>
      <c r="C54">
        <v>6.9</v>
      </c>
      <c r="D54">
        <v>3.1</v>
      </c>
      <c r="E54">
        <v>4.9000000000000004</v>
      </c>
      <c r="F54">
        <v>1.5</v>
      </c>
      <c r="G54" t="s">
        <v>25</v>
      </c>
    </row>
    <row r="55" spans="2:7" x14ac:dyDescent="0.4">
      <c r="B55">
        <v>54</v>
      </c>
      <c r="C55">
        <v>5.5</v>
      </c>
      <c r="D55">
        <v>2.2999999999999998</v>
      </c>
      <c r="E55">
        <v>4</v>
      </c>
      <c r="F55">
        <v>1.3</v>
      </c>
      <c r="G55" t="s">
        <v>25</v>
      </c>
    </row>
    <row r="56" spans="2:7" x14ac:dyDescent="0.4">
      <c r="B56">
        <v>55</v>
      </c>
      <c r="C56">
        <v>6.5</v>
      </c>
      <c r="D56">
        <v>2.8</v>
      </c>
      <c r="E56">
        <v>4.5999999999999996</v>
      </c>
      <c r="F56">
        <v>1.5</v>
      </c>
      <c r="G56" t="s">
        <v>25</v>
      </c>
    </row>
    <row r="57" spans="2:7" x14ac:dyDescent="0.4">
      <c r="B57">
        <v>56</v>
      </c>
      <c r="C57">
        <v>5.7</v>
      </c>
      <c r="D57">
        <v>2.8</v>
      </c>
      <c r="E57">
        <v>4.5</v>
      </c>
      <c r="F57">
        <v>1.3</v>
      </c>
      <c r="G57" t="s">
        <v>25</v>
      </c>
    </row>
    <row r="58" spans="2:7" x14ac:dyDescent="0.4">
      <c r="B58">
        <v>57</v>
      </c>
      <c r="C58">
        <v>6.3</v>
      </c>
      <c r="D58">
        <v>3.3</v>
      </c>
      <c r="E58">
        <v>4.7</v>
      </c>
      <c r="F58">
        <v>1.6</v>
      </c>
      <c r="G58" t="s">
        <v>25</v>
      </c>
    </row>
    <row r="59" spans="2:7" x14ac:dyDescent="0.4">
      <c r="B59">
        <v>58</v>
      </c>
      <c r="C59">
        <v>4.9000000000000004</v>
      </c>
      <c r="D59">
        <v>2.4</v>
      </c>
      <c r="E59">
        <v>3.3</v>
      </c>
      <c r="F59">
        <v>1</v>
      </c>
      <c r="G59" t="s">
        <v>25</v>
      </c>
    </row>
    <row r="60" spans="2:7" x14ac:dyDescent="0.4">
      <c r="B60">
        <v>59</v>
      </c>
      <c r="C60">
        <v>6.6</v>
      </c>
      <c r="D60">
        <v>2.9</v>
      </c>
      <c r="E60">
        <v>4.5999999999999996</v>
      </c>
      <c r="F60">
        <v>1.3</v>
      </c>
      <c r="G60" t="s">
        <v>25</v>
      </c>
    </row>
    <row r="61" spans="2:7" x14ac:dyDescent="0.4">
      <c r="B61">
        <v>60</v>
      </c>
      <c r="C61">
        <v>5.2</v>
      </c>
      <c r="D61">
        <v>2.7</v>
      </c>
      <c r="E61">
        <v>3.9</v>
      </c>
      <c r="F61">
        <v>1.4</v>
      </c>
      <c r="G61" t="s">
        <v>25</v>
      </c>
    </row>
    <row r="62" spans="2:7" x14ac:dyDescent="0.4">
      <c r="B62">
        <v>61</v>
      </c>
      <c r="C62">
        <v>5</v>
      </c>
      <c r="D62">
        <v>2</v>
      </c>
      <c r="E62">
        <v>3.5</v>
      </c>
      <c r="F62">
        <v>1</v>
      </c>
      <c r="G62" t="s">
        <v>25</v>
      </c>
    </row>
    <row r="63" spans="2:7" x14ac:dyDescent="0.4">
      <c r="B63">
        <v>62</v>
      </c>
      <c r="C63">
        <v>5.9</v>
      </c>
      <c r="D63">
        <v>3</v>
      </c>
      <c r="E63">
        <v>4.2</v>
      </c>
      <c r="F63">
        <v>1.5</v>
      </c>
      <c r="G63" t="s">
        <v>25</v>
      </c>
    </row>
    <row r="64" spans="2:7" x14ac:dyDescent="0.4">
      <c r="B64">
        <v>63</v>
      </c>
      <c r="C64">
        <v>6</v>
      </c>
      <c r="D64">
        <v>2.2000000000000002</v>
      </c>
      <c r="E64">
        <v>4</v>
      </c>
      <c r="F64">
        <v>1</v>
      </c>
      <c r="G64" t="s">
        <v>25</v>
      </c>
    </row>
    <row r="65" spans="2:7" x14ac:dyDescent="0.4">
      <c r="B65">
        <v>64</v>
      </c>
      <c r="C65">
        <v>6.1</v>
      </c>
      <c r="D65">
        <v>2.9</v>
      </c>
      <c r="E65">
        <v>4.7</v>
      </c>
      <c r="F65">
        <v>1.4</v>
      </c>
      <c r="G65" t="s">
        <v>25</v>
      </c>
    </row>
    <row r="66" spans="2:7" x14ac:dyDescent="0.4">
      <c r="B66">
        <v>65</v>
      </c>
      <c r="C66">
        <v>5.6</v>
      </c>
      <c r="D66">
        <v>2.9</v>
      </c>
      <c r="E66">
        <v>3.6</v>
      </c>
      <c r="F66">
        <v>1.3</v>
      </c>
      <c r="G66" t="s">
        <v>25</v>
      </c>
    </row>
    <row r="67" spans="2:7" x14ac:dyDescent="0.4">
      <c r="B67">
        <v>66</v>
      </c>
      <c r="C67">
        <v>6.7</v>
      </c>
      <c r="D67">
        <v>3.1</v>
      </c>
      <c r="E67">
        <v>4.4000000000000004</v>
      </c>
      <c r="F67">
        <v>1.4</v>
      </c>
      <c r="G67" t="s">
        <v>25</v>
      </c>
    </row>
    <row r="68" spans="2:7" x14ac:dyDescent="0.4">
      <c r="B68">
        <v>67</v>
      </c>
      <c r="C68">
        <v>5.6</v>
      </c>
      <c r="D68">
        <v>3</v>
      </c>
      <c r="E68">
        <v>4.5</v>
      </c>
      <c r="F68">
        <v>1.5</v>
      </c>
      <c r="G68" t="s">
        <v>25</v>
      </c>
    </row>
    <row r="69" spans="2:7" x14ac:dyDescent="0.4">
      <c r="B69">
        <v>68</v>
      </c>
      <c r="C69">
        <v>5.8</v>
      </c>
      <c r="D69">
        <v>2.7</v>
      </c>
      <c r="E69">
        <v>4.0999999999999996</v>
      </c>
      <c r="F69">
        <v>1</v>
      </c>
      <c r="G69" t="s">
        <v>25</v>
      </c>
    </row>
    <row r="70" spans="2:7" x14ac:dyDescent="0.4">
      <c r="B70">
        <v>69</v>
      </c>
      <c r="C70">
        <v>6.2</v>
      </c>
      <c r="D70">
        <v>2.2000000000000002</v>
      </c>
      <c r="E70">
        <v>4.5</v>
      </c>
      <c r="F70">
        <v>1.5</v>
      </c>
      <c r="G70" t="s">
        <v>25</v>
      </c>
    </row>
    <row r="71" spans="2:7" x14ac:dyDescent="0.4">
      <c r="B71">
        <v>70</v>
      </c>
      <c r="C71">
        <v>5.6</v>
      </c>
      <c r="D71">
        <v>2.5</v>
      </c>
      <c r="E71">
        <v>3.9</v>
      </c>
      <c r="F71">
        <v>1.1000000000000001</v>
      </c>
      <c r="G71" t="s">
        <v>25</v>
      </c>
    </row>
    <row r="72" spans="2:7" x14ac:dyDescent="0.4">
      <c r="B72">
        <v>71</v>
      </c>
      <c r="C72">
        <v>5.9</v>
      </c>
      <c r="D72">
        <v>3.2</v>
      </c>
      <c r="E72">
        <v>4.8</v>
      </c>
      <c r="F72">
        <v>1.8</v>
      </c>
      <c r="G72" t="s">
        <v>25</v>
      </c>
    </row>
    <row r="73" spans="2:7" x14ac:dyDescent="0.4">
      <c r="B73">
        <v>72</v>
      </c>
      <c r="C73">
        <v>6.1</v>
      </c>
      <c r="D73">
        <v>2.8</v>
      </c>
      <c r="E73">
        <v>4</v>
      </c>
      <c r="F73">
        <v>1.3</v>
      </c>
      <c r="G73" t="s">
        <v>25</v>
      </c>
    </row>
    <row r="74" spans="2:7" x14ac:dyDescent="0.4">
      <c r="B74">
        <v>73</v>
      </c>
      <c r="C74">
        <v>6.3</v>
      </c>
      <c r="D74">
        <v>2.5</v>
      </c>
      <c r="E74">
        <v>4.9000000000000004</v>
      </c>
      <c r="F74">
        <v>1.5</v>
      </c>
      <c r="G74" t="s">
        <v>25</v>
      </c>
    </row>
    <row r="75" spans="2:7" x14ac:dyDescent="0.4">
      <c r="B75">
        <v>74</v>
      </c>
      <c r="C75">
        <v>6.1</v>
      </c>
      <c r="D75">
        <v>2.8</v>
      </c>
      <c r="E75">
        <v>4.7</v>
      </c>
      <c r="F75">
        <v>1.2</v>
      </c>
      <c r="G75" t="s">
        <v>25</v>
      </c>
    </row>
    <row r="76" spans="2:7" x14ac:dyDescent="0.4">
      <c r="B76">
        <v>75</v>
      </c>
      <c r="C76">
        <v>6.4</v>
      </c>
      <c r="D76">
        <v>2.9</v>
      </c>
      <c r="E76">
        <v>4.3</v>
      </c>
      <c r="F76">
        <v>1.3</v>
      </c>
      <c r="G76" t="s">
        <v>25</v>
      </c>
    </row>
    <row r="77" spans="2:7" x14ac:dyDescent="0.4">
      <c r="B77">
        <v>76</v>
      </c>
      <c r="C77">
        <v>6.6</v>
      </c>
      <c r="D77">
        <v>3</v>
      </c>
      <c r="E77">
        <v>4.4000000000000004</v>
      </c>
      <c r="F77">
        <v>1.4</v>
      </c>
      <c r="G77" t="s">
        <v>25</v>
      </c>
    </row>
    <row r="78" spans="2:7" x14ac:dyDescent="0.4">
      <c r="B78">
        <v>77</v>
      </c>
      <c r="C78">
        <v>6.8</v>
      </c>
      <c r="D78">
        <v>2.8</v>
      </c>
      <c r="E78">
        <v>4.8</v>
      </c>
      <c r="F78">
        <v>1.4</v>
      </c>
      <c r="G78" t="s">
        <v>25</v>
      </c>
    </row>
    <row r="79" spans="2:7" x14ac:dyDescent="0.4">
      <c r="B79">
        <v>78</v>
      </c>
      <c r="C79">
        <v>6.7</v>
      </c>
      <c r="D79">
        <v>3</v>
      </c>
      <c r="E79">
        <v>5</v>
      </c>
      <c r="F79">
        <v>1.7</v>
      </c>
      <c r="G79" t="s">
        <v>25</v>
      </c>
    </row>
    <row r="80" spans="2:7" x14ac:dyDescent="0.4">
      <c r="B80">
        <v>79</v>
      </c>
      <c r="C80">
        <v>6</v>
      </c>
      <c r="D80">
        <v>2.9</v>
      </c>
      <c r="E80">
        <v>4.5</v>
      </c>
      <c r="F80">
        <v>1.5</v>
      </c>
      <c r="G80" t="s">
        <v>25</v>
      </c>
    </row>
    <row r="81" spans="2:7" x14ac:dyDescent="0.4">
      <c r="B81">
        <v>80</v>
      </c>
      <c r="C81">
        <v>5.7</v>
      </c>
      <c r="D81">
        <v>2.6</v>
      </c>
      <c r="E81">
        <v>3.5</v>
      </c>
      <c r="F81">
        <v>1</v>
      </c>
      <c r="G81" t="s">
        <v>25</v>
      </c>
    </row>
    <row r="82" spans="2:7" x14ac:dyDescent="0.4">
      <c r="B82">
        <v>81</v>
      </c>
      <c r="C82">
        <v>5.5</v>
      </c>
      <c r="D82">
        <v>2.4</v>
      </c>
      <c r="E82">
        <v>3.8</v>
      </c>
      <c r="F82">
        <v>1.1000000000000001</v>
      </c>
      <c r="G82" t="s">
        <v>25</v>
      </c>
    </row>
    <row r="83" spans="2:7" x14ac:dyDescent="0.4">
      <c r="B83">
        <v>82</v>
      </c>
      <c r="C83">
        <v>5.5</v>
      </c>
      <c r="D83">
        <v>2.4</v>
      </c>
      <c r="E83">
        <v>3.7</v>
      </c>
      <c r="F83">
        <v>1</v>
      </c>
      <c r="G83" t="s">
        <v>25</v>
      </c>
    </row>
    <row r="84" spans="2:7" x14ac:dyDescent="0.4">
      <c r="B84">
        <v>83</v>
      </c>
      <c r="C84">
        <v>5.8</v>
      </c>
      <c r="D84">
        <v>2.7</v>
      </c>
      <c r="E84">
        <v>3.9</v>
      </c>
      <c r="F84">
        <v>1.2</v>
      </c>
      <c r="G84" t="s">
        <v>25</v>
      </c>
    </row>
    <row r="85" spans="2:7" x14ac:dyDescent="0.4">
      <c r="B85">
        <v>84</v>
      </c>
      <c r="C85">
        <v>6</v>
      </c>
      <c r="D85">
        <v>2.7</v>
      </c>
      <c r="E85">
        <v>5.0999999999999996</v>
      </c>
      <c r="F85">
        <v>1.6</v>
      </c>
      <c r="G85" t="s">
        <v>25</v>
      </c>
    </row>
    <row r="86" spans="2:7" x14ac:dyDescent="0.4">
      <c r="B86">
        <v>85</v>
      </c>
      <c r="C86">
        <v>5.4</v>
      </c>
      <c r="D86">
        <v>3</v>
      </c>
      <c r="E86">
        <v>4.5</v>
      </c>
      <c r="F86">
        <v>1.5</v>
      </c>
      <c r="G86" t="s">
        <v>25</v>
      </c>
    </row>
    <row r="87" spans="2:7" x14ac:dyDescent="0.4">
      <c r="B87">
        <v>86</v>
      </c>
      <c r="C87">
        <v>6</v>
      </c>
      <c r="D87">
        <v>3.4</v>
      </c>
      <c r="E87">
        <v>4.5</v>
      </c>
      <c r="F87">
        <v>1.6</v>
      </c>
      <c r="G87" t="s">
        <v>25</v>
      </c>
    </row>
    <row r="88" spans="2:7" x14ac:dyDescent="0.4">
      <c r="B88">
        <v>87</v>
      </c>
      <c r="C88">
        <v>6.7</v>
      </c>
      <c r="D88">
        <v>3.1</v>
      </c>
      <c r="E88">
        <v>4.7</v>
      </c>
      <c r="F88">
        <v>1.5</v>
      </c>
      <c r="G88" t="s">
        <v>25</v>
      </c>
    </row>
    <row r="89" spans="2:7" x14ac:dyDescent="0.4">
      <c r="B89">
        <v>88</v>
      </c>
      <c r="C89">
        <v>6.3</v>
      </c>
      <c r="D89">
        <v>2.2999999999999998</v>
      </c>
      <c r="E89">
        <v>4.4000000000000004</v>
      </c>
      <c r="F89">
        <v>1.3</v>
      </c>
      <c r="G89" t="s">
        <v>25</v>
      </c>
    </row>
    <row r="90" spans="2:7" x14ac:dyDescent="0.4">
      <c r="B90">
        <v>89</v>
      </c>
      <c r="C90">
        <v>5.6</v>
      </c>
      <c r="D90">
        <v>3</v>
      </c>
      <c r="E90">
        <v>4.0999999999999996</v>
      </c>
      <c r="F90">
        <v>1.3</v>
      </c>
      <c r="G90" t="s">
        <v>25</v>
      </c>
    </row>
    <row r="91" spans="2:7" x14ac:dyDescent="0.4">
      <c r="B91">
        <v>90</v>
      </c>
      <c r="C91">
        <v>5.5</v>
      </c>
      <c r="D91">
        <v>2.5</v>
      </c>
      <c r="E91">
        <v>4</v>
      </c>
      <c r="F91">
        <v>1.3</v>
      </c>
      <c r="G91" t="s">
        <v>25</v>
      </c>
    </row>
    <row r="92" spans="2:7" x14ac:dyDescent="0.4">
      <c r="B92">
        <v>91</v>
      </c>
      <c r="C92">
        <v>5.5</v>
      </c>
      <c r="D92">
        <v>2.6</v>
      </c>
      <c r="E92">
        <v>4.4000000000000004</v>
      </c>
      <c r="F92">
        <v>1.2</v>
      </c>
      <c r="G92" t="s">
        <v>25</v>
      </c>
    </row>
    <row r="93" spans="2:7" x14ac:dyDescent="0.4">
      <c r="B93">
        <v>92</v>
      </c>
      <c r="C93">
        <v>6.1</v>
      </c>
      <c r="D93">
        <v>3</v>
      </c>
      <c r="E93">
        <v>4.5999999999999996</v>
      </c>
      <c r="F93">
        <v>1.4</v>
      </c>
      <c r="G93" t="s">
        <v>25</v>
      </c>
    </row>
    <row r="94" spans="2:7" x14ac:dyDescent="0.4">
      <c r="B94">
        <v>93</v>
      </c>
      <c r="C94">
        <v>5.8</v>
      </c>
      <c r="D94">
        <v>2.6</v>
      </c>
      <c r="E94">
        <v>4</v>
      </c>
      <c r="F94">
        <v>1.2</v>
      </c>
      <c r="G94" t="s">
        <v>25</v>
      </c>
    </row>
    <row r="95" spans="2:7" x14ac:dyDescent="0.4">
      <c r="B95">
        <v>94</v>
      </c>
      <c r="C95">
        <v>5</v>
      </c>
      <c r="D95">
        <v>2.2999999999999998</v>
      </c>
      <c r="E95">
        <v>3.3</v>
      </c>
      <c r="F95">
        <v>1</v>
      </c>
      <c r="G95" t="s">
        <v>25</v>
      </c>
    </row>
    <row r="96" spans="2:7" x14ac:dyDescent="0.4">
      <c r="B96">
        <v>95</v>
      </c>
      <c r="C96">
        <v>5.6</v>
      </c>
      <c r="D96">
        <v>2.7</v>
      </c>
      <c r="E96">
        <v>4.2</v>
      </c>
      <c r="F96">
        <v>1.3</v>
      </c>
      <c r="G96" t="s">
        <v>25</v>
      </c>
    </row>
    <row r="97" spans="2:7" x14ac:dyDescent="0.4">
      <c r="B97">
        <v>96</v>
      </c>
      <c r="C97">
        <v>5.7</v>
      </c>
      <c r="D97">
        <v>3</v>
      </c>
      <c r="E97">
        <v>4.2</v>
      </c>
      <c r="F97">
        <v>1.2</v>
      </c>
      <c r="G97" t="s">
        <v>25</v>
      </c>
    </row>
    <row r="98" spans="2:7" x14ac:dyDescent="0.4">
      <c r="B98">
        <v>97</v>
      </c>
      <c r="C98">
        <v>5.7</v>
      </c>
      <c r="D98">
        <v>2.9</v>
      </c>
      <c r="E98">
        <v>4.2</v>
      </c>
      <c r="F98">
        <v>1.3</v>
      </c>
      <c r="G98" t="s">
        <v>25</v>
      </c>
    </row>
    <row r="99" spans="2:7" x14ac:dyDescent="0.4">
      <c r="B99">
        <v>98</v>
      </c>
      <c r="C99">
        <v>6.2</v>
      </c>
      <c r="D99">
        <v>2.9</v>
      </c>
      <c r="E99">
        <v>4.3</v>
      </c>
      <c r="F99">
        <v>1.3</v>
      </c>
      <c r="G99" t="s">
        <v>25</v>
      </c>
    </row>
    <row r="100" spans="2:7" x14ac:dyDescent="0.4">
      <c r="B100">
        <v>99</v>
      </c>
      <c r="C100">
        <v>5.0999999999999996</v>
      </c>
      <c r="D100">
        <v>2.5</v>
      </c>
      <c r="E100">
        <v>3</v>
      </c>
      <c r="F100">
        <v>1.1000000000000001</v>
      </c>
      <c r="G100" t="s">
        <v>25</v>
      </c>
    </row>
    <row r="101" spans="2:7" x14ac:dyDescent="0.4">
      <c r="B101">
        <v>100</v>
      </c>
      <c r="C101">
        <v>5.7</v>
      </c>
      <c r="D101">
        <v>2.8</v>
      </c>
      <c r="E101">
        <v>4.0999999999999996</v>
      </c>
      <c r="F101">
        <v>1.3</v>
      </c>
      <c r="G101" t="s">
        <v>25</v>
      </c>
    </row>
    <row r="102" spans="2:7" x14ac:dyDescent="0.4">
      <c r="B102">
        <v>101</v>
      </c>
      <c r="C102">
        <v>6.3</v>
      </c>
      <c r="D102">
        <v>3.3</v>
      </c>
      <c r="E102">
        <v>6</v>
      </c>
      <c r="F102">
        <v>2.5</v>
      </c>
      <c r="G102" t="s">
        <v>26</v>
      </c>
    </row>
    <row r="103" spans="2:7" x14ac:dyDescent="0.4">
      <c r="B103">
        <v>102</v>
      </c>
      <c r="C103">
        <v>5.8</v>
      </c>
      <c r="D103">
        <v>2.7</v>
      </c>
      <c r="E103">
        <v>5.0999999999999996</v>
      </c>
      <c r="F103">
        <v>1.9</v>
      </c>
      <c r="G103" t="s">
        <v>26</v>
      </c>
    </row>
    <row r="104" spans="2:7" x14ac:dyDescent="0.4">
      <c r="B104">
        <v>103</v>
      </c>
      <c r="C104">
        <v>7.1</v>
      </c>
      <c r="D104">
        <v>3</v>
      </c>
      <c r="E104">
        <v>5.9</v>
      </c>
      <c r="F104">
        <v>2.1</v>
      </c>
      <c r="G104" t="s">
        <v>26</v>
      </c>
    </row>
    <row r="105" spans="2:7" x14ac:dyDescent="0.4">
      <c r="B105">
        <v>104</v>
      </c>
      <c r="C105">
        <v>6.3</v>
      </c>
      <c r="D105">
        <v>2.9</v>
      </c>
      <c r="E105">
        <v>5.6</v>
      </c>
      <c r="F105">
        <v>1.8</v>
      </c>
      <c r="G105" t="s">
        <v>26</v>
      </c>
    </row>
    <row r="106" spans="2:7" x14ac:dyDescent="0.4">
      <c r="B106">
        <v>105</v>
      </c>
      <c r="C106">
        <v>6.5</v>
      </c>
      <c r="D106">
        <v>3</v>
      </c>
      <c r="E106">
        <v>5.8</v>
      </c>
      <c r="F106">
        <v>2.2000000000000002</v>
      </c>
      <c r="G106" t="s">
        <v>26</v>
      </c>
    </row>
    <row r="107" spans="2:7" x14ac:dyDescent="0.4">
      <c r="B107">
        <v>106</v>
      </c>
      <c r="C107">
        <v>7.6</v>
      </c>
      <c r="D107">
        <v>3</v>
      </c>
      <c r="E107">
        <v>6.6</v>
      </c>
      <c r="F107">
        <v>2.1</v>
      </c>
      <c r="G107" t="s">
        <v>26</v>
      </c>
    </row>
    <row r="108" spans="2:7" x14ac:dyDescent="0.4">
      <c r="B108">
        <v>107</v>
      </c>
      <c r="C108">
        <v>4.9000000000000004</v>
      </c>
      <c r="D108">
        <v>2.5</v>
      </c>
      <c r="E108">
        <v>4.5</v>
      </c>
      <c r="F108">
        <v>1.7</v>
      </c>
      <c r="G108" t="s">
        <v>26</v>
      </c>
    </row>
    <row r="109" spans="2:7" x14ac:dyDescent="0.4">
      <c r="B109">
        <v>108</v>
      </c>
      <c r="C109">
        <v>7.3</v>
      </c>
      <c r="D109">
        <v>2.9</v>
      </c>
      <c r="E109">
        <v>6.3</v>
      </c>
      <c r="F109">
        <v>1.8</v>
      </c>
      <c r="G109" t="s">
        <v>26</v>
      </c>
    </row>
    <row r="110" spans="2:7" x14ac:dyDescent="0.4">
      <c r="B110">
        <v>109</v>
      </c>
      <c r="C110">
        <v>6.7</v>
      </c>
      <c r="D110">
        <v>2.5</v>
      </c>
      <c r="E110">
        <v>5.8</v>
      </c>
      <c r="F110">
        <v>1.8</v>
      </c>
      <c r="G110" t="s">
        <v>26</v>
      </c>
    </row>
    <row r="111" spans="2:7" x14ac:dyDescent="0.4">
      <c r="B111">
        <v>110</v>
      </c>
      <c r="C111">
        <v>7.2</v>
      </c>
      <c r="D111">
        <v>3.6</v>
      </c>
      <c r="E111">
        <v>6.1</v>
      </c>
      <c r="F111">
        <v>2.5</v>
      </c>
      <c r="G111" t="s">
        <v>26</v>
      </c>
    </row>
    <row r="112" spans="2:7" x14ac:dyDescent="0.4">
      <c r="B112">
        <v>111</v>
      </c>
      <c r="C112">
        <v>6.5</v>
      </c>
      <c r="D112">
        <v>3.2</v>
      </c>
      <c r="E112">
        <v>5.0999999999999996</v>
      </c>
      <c r="F112">
        <v>2</v>
      </c>
      <c r="G112" t="s">
        <v>26</v>
      </c>
    </row>
    <row r="113" spans="2:7" x14ac:dyDescent="0.4">
      <c r="B113">
        <v>112</v>
      </c>
      <c r="C113">
        <v>6.4</v>
      </c>
      <c r="D113">
        <v>2.7</v>
      </c>
      <c r="E113">
        <v>5.3</v>
      </c>
      <c r="F113">
        <v>1.9</v>
      </c>
      <c r="G113" t="s">
        <v>26</v>
      </c>
    </row>
    <row r="114" spans="2:7" x14ac:dyDescent="0.4">
      <c r="B114">
        <v>113</v>
      </c>
      <c r="C114">
        <v>6.8</v>
      </c>
      <c r="D114">
        <v>3</v>
      </c>
      <c r="E114">
        <v>5.5</v>
      </c>
      <c r="F114">
        <v>2.1</v>
      </c>
      <c r="G114" t="s">
        <v>26</v>
      </c>
    </row>
    <row r="115" spans="2:7" x14ac:dyDescent="0.4">
      <c r="B115">
        <v>114</v>
      </c>
      <c r="C115">
        <v>5.7</v>
      </c>
      <c r="D115">
        <v>2.5</v>
      </c>
      <c r="E115">
        <v>5</v>
      </c>
      <c r="F115">
        <v>2</v>
      </c>
      <c r="G115" t="s">
        <v>26</v>
      </c>
    </row>
    <row r="116" spans="2:7" x14ac:dyDescent="0.4">
      <c r="B116">
        <v>115</v>
      </c>
      <c r="C116">
        <v>5.8</v>
      </c>
      <c r="D116">
        <v>2.8</v>
      </c>
      <c r="E116">
        <v>5.0999999999999996</v>
      </c>
      <c r="F116">
        <v>2.4</v>
      </c>
      <c r="G116" t="s">
        <v>26</v>
      </c>
    </row>
    <row r="117" spans="2:7" x14ac:dyDescent="0.4">
      <c r="B117">
        <v>116</v>
      </c>
      <c r="C117">
        <v>6.4</v>
      </c>
      <c r="D117">
        <v>3.2</v>
      </c>
      <c r="E117">
        <v>5.3</v>
      </c>
      <c r="F117">
        <v>2.2999999999999998</v>
      </c>
      <c r="G117" t="s">
        <v>26</v>
      </c>
    </row>
    <row r="118" spans="2:7" x14ac:dyDescent="0.4">
      <c r="B118">
        <v>117</v>
      </c>
      <c r="C118">
        <v>6.5</v>
      </c>
      <c r="D118">
        <v>3</v>
      </c>
      <c r="E118">
        <v>5.5</v>
      </c>
      <c r="F118">
        <v>1.8</v>
      </c>
      <c r="G118" t="s">
        <v>26</v>
      </c>
    </row>
    <row r="119" spans="2:7" x14ac:dyDescent="0.4">
      <c r="B119">
        <v>118</v>
      </c>
      <c r="C119">
        <v>7.7</v>
      </c>
      <c r="D119">
        <v>3.8</v>
      </c>
      <c r="E119">
        <v>6.7</v>
      </c>
      <c r="F119">
        <v>2.2000000000000002</v>
      </c>
      <c r="G119" t="s">
        <v>26</v>
      </c>
    </row>
    <row r="120" spans="2:7" x14ac:dyDescent="0.4">
      <c r="B120">
        <v>119</v>
      </c>
      <c r="C120">
        <v>7.7</v>
      </c>
      <c r="D120">
        <v>2.6</v>
      </c>
      <c r="E120">
        <v>6.9</v>
      </c>
      <c r="F120">
        <v>2.2999999999999998</v>
      </c>
      <c r="G120" t="s">
        <v>26</v>
      </c>
    </row>
    <row r="121" spans="2:7" x14ac:dyDescent="0.4">
      <c r="B121">
        <v>120</v>
      </c>
      <c r="C121">
        <v>6</v>
      </c>
      <c r="D121">
        <v>2.2000000000000002</v>
      </c>
      <c r="E121">
        <v>5</v>
      </c>
      <c r="F121">
        <v>1.5</v>
      </c>
      <c r="G121" t="s">
        <v>26</v>
      </c>
    </row>
    <row r="122" spans="2:7" x14ac:dyDescent="0.4">
      <c r="B122">
        <v>121</v>
      </c>
      <c r="C122">
        <v>6.9</v>
      </c>
      <c r="D122">
        <v>3.2</v>
      </c>
      <c r="E122">
        <v>5.7</v>
      </c>
      <c r="F122">
        <v>2.2999999999999998</v>
      </c>
      <c r="G122" t="s">
        <v>26</v>
      </c>
    </row>
    <row r="123" spans="2:7" x14ac:dyDescent="0.4">
      <c r="B123">
        <v>122</v>
      </c>
      <c r="C123">
        <v>5.6</v>
      </c>
      <c r="D123">
        <v>2.8</v>
      </c>
      <c r="E123">
        <v>4.9000000000000004</v>
      </c>
      <c r="F123">
        <v>2</v>
      </c>
      <c r="G123" t="s">
        <v>26</v>
      </c>
    </row>
    <row r="124" spans="2:7" x14ac:dyDescent="0.4">
      <c r="B124">
        <v>123</v>
      </c>
      <c r="C124">
        <v>7.7</v>
      </c>
      <c r="D124">
        <v>2.8</v>
      </c>
      <c r="E124">
        <v>6.7</v>
      </c>
      <c r="F124">
        <v>2</v>
      </c>
      <c r="G124" t="s">
        <v>26</v>
      </c>
    </row>
    <row r="125" spans="2:7" x14ac:dyDescent="0.4">
      <c r="B125">
        <v>124</v>
      </c>
      <c r="C125">
        <v>6.3</v>
      </c>
      <c r="D125">
        <v>2.7</v>
      </c>
      <c r="E125">
        <v>4.9000000000000004</v>
      </c>
      <c r="F125">
        <v>1.8</v>
      </c>
      <c r="G125" t="s">
        <v>26</v>
      </c>
    </row>
    <row r="126" spans="2:7" x14ac:dyDescent="0.4">
      <c r="B126">
        <v>125</v>
      </c>
      <c r="C126">
        <v>6.7</v>
      </c>
      <c r="D126">
        <v>3.3</v>
      </c>
      <c r="E126">
        <v>5.7</v>
      </c>
      <c r="F126">
        <v>2.1</v>
      </c>
      <c r="G126" t="s">
        <v>26</v>
      </c>
    </row>
    <row r="127" spans="2:7" x14ac:dyDescent="0.4">
      <c r="B127">
        <v>126</v>
      </c>
      <c r="C127">
        <v>7.2</v>
      </c>
      <c r="D127">
        <v>3.2</v>
      </c>
      <c r="E127">
        <v>6</v>
      </c>
      <c r="F127">
        <v>1.8</v>
      </c>
      <c r="G127" t="s">
        <v>26</v>
      </c>
    </row>
    <row r="128" spans="2:7" x14ac:dyDescent="0.4">
      <c r="B128">
        <v>127</v>
      </c>
      <c r="C128">
        <v>6.2</v>
      </c>
      <c r="D128">
        <v>2.8</v>
      </c>
      <c r="E128">
        <v>4.8</v>
      </c>
      <c r="F128">
        <v>1.8</v>
      </c>
      <c r="G128" t="s">
        <v>26</v>
      </c>
    </row>
    <row r="129" spans="2:7" x14ac:dyDescent="0.4">
      <c r="B129">
        <v>128</v>
      </c>
      <c r="C129">
        <v>6.1</v>
      </c>
      <c r="D129">
        <v>3</v>
      </c>
      <c r="E129">
        <v>4.9000000000000004</v>
      </c>
      <c r="F129">
        <v>1.8</v>
      </c>
      <c r="G129" t="s">
        <v>26</v>
      </c>
    </row>
    <row r="130" spans="2:7" x14ac:dyDescent="0.4">
      <c r="B130">
        <v>129</v>
      </c>
      <c r="C130">
        <v>6.4</v>
      </c>
      <c r="D130">
        <v>2.8</v>
      </c>
      <c r="E130">
        <v>5.6</v>
      </c>
      <c r="F130">
        <v>2.1</v>
      </c>
      <c r="G130" t="s">
        <v>26</v>
      </c>
    </row>
    <row r="131" spans="2:7" x14ac:dyDescent="0.4">
      <c r="B131">
        <v>130</v>
      </c>
      <c r="C131">
        <v>7.2</v>
      </c>
      <c r="D131">
        <v>3</v>
      </c>
      <c r="E131">
        <v>5.8</v>
      </c>
      <c r="F131">
        <v>1.6</v>
      </c>
      <c r="G131" t="s">
        <v>26</v>
      </c>
    </row>
    <row r="132" spans="2:7" x14ac:dyDescent="0.4">
      <c r="B132">
        <v>131</v>
      </c>
      <c r="C132">
        <v>7.4</v>
      </c>
      <c r="D132">
        <v>2.8</v>
      </c>
      <c r="E132">
        <v>6.1</v>
      </c>
      <c r="F132">
        <v>1.9</v>
      </c>
      <c r="G132" t="s">
        <v>26</v>
      </c>
    </row>
    <row r="133" spans="2:7" x14ac:dyDescent="0.4">
      <c r="B133">
        <v>132</v>
      </c>
      <c r="C133">
        <v>7.9</v>
      </c>
      <c r="D133">
        <v>3.8</v>
      </c>
      <c r="E133">
        <v>6.4</v>
      </c>
      <c r="F133">
        <v>2</v>
      </c>
      <c r="G133" t="s">
        <v>26</v>
      </c>
    </row>
    <row r="134" spans="2:7" x14ac:dyDescent="0.4">
      <c r="B134">
        <v>133</v>
      </c>
      <c r="C134">
        <v>6.4</v>
      </c>
      <c r="D134">
        <v>2.8</v>
      </c>
      <c r="E134">
        <v>5.6</v>
      </c>
      <c r="F134">
        <v>2.2000000000000002</v>
      </c>
      <c r="G134" t="s">
        <v>26</v>
      </c>
    </row>
    <row r="135" spans="2:7" x14ac:dyDescent="0.4">
      <c r="B135">
        <v>134</v>
      </c>
      <c r="C135">
        <v>6.3</v>
      </c>
      <c r="D135">
        <v>2.8</v>
      </c>
      <c r="E135">
        <v>5.0999999999999996</v>
      </c>
      <c r="F135">
        <v>1.5</v>
      </c>
      <c r="G135" t="s">
        <v>26</v>
      </c>
    </row>
    <row r="136" spans="2:7" x14ac:dyDescent="0.4">
      <c r="B136">
        <v>135</v>
      </c>
      <c r="C136">
        <v>6.1</v>
      </c>
      <c r="D136">
        <v>2.6</v>
      </c>
      <c r="E136">
        <v>5.6</v>
      </c>
      <c r="F136">
        <v>1.4</v>
      </c>
      <c r="G136" t="s">
        <v>26</v>
      </c>
    </row>
    <row r="137" spans="2:7" x14ac:dyDescent="0.4">
      <c r="B137">
        <v>136</v>
      </c>
      <c r="C137">
        <v>7.7</v>
      </c>
      <c r="D137">
        <v>3</v>
      </c>
      <c r="E137">
        <v>6.1</v>
      </c>
      <c r="F137">
        <v>2.2999999999999998</v>
      </c>
      <c r="G137" t="s">
        <v>26</v>
      </c>
    </row>
    <row r="138" spans="2:7" x14ac:dyDescent="0.4">
      <c r="B138">
        <v>137</v>
      </c>
      <c r="C138">
        <v>6.3</v>
      </c>
      <c r="D138">
        <v>3.4</v>
      </c>
      <c r="E138">
        <v>5.6</v>
      </c>
      <c r="F138">
        <v>2.4</v>
      </c>
      <c r="G138" t="s">
        <v>26</v>
      </c>
    </row>
    <row r="139" spans="2:7" x14ac:dyDescent="0.4">
      <c r="B139">
        <v>138</v>
      </c>
      <c r="C139">
        <v>6.4</v>
      </c>
      <c r="D139">
        <v>3.1</v>
      </c>
      <c r="E139">
        <v>5.5</v>
      </c>
      <c r="F139">
        <v>1.8</v>
      </c>
      <c r="G139" t="s">
        <v>26</v>
      </c>
    </row>
    <row r="140" spans="2:7" x14ac:dyDescent="0.4">
      <c r="B140">
        <v>139</v>
      </c>
      <c r="C140">
        <v>6</v>
      </c>
      <c r="D140">
        <v>3</v>
      </c>
      <c r="E140">
        <v>4.8</v>
      </c>
      <c r="F140">
        <v>1.8</v>
      </c>
      <c r="G140" t="s">
        <v>26</v>
      </c>
    </row>
    <row r="141" spans="2:7" x14ac:dyDescent="0.4">
      <c r="B141">
        <v>140</v>
      </c>
      <c r="C141">
        <v>6.9</v>
      </c>
      <c r="D141">
        <v>3.1</v>
      </c>
      <c r="E141">
        <v>5.4</v>
      </c>
      <c r="F141">
        <v>2.1</v>
      </c>
      <c r="G141" t="s">
        <v>26</v>
      </c>
    </row>
    <row r="142" spans="2:7" x14ac:dyDescent="0.4">
      <c r="B142">
        <v>141</v>
      </c>
      <c r="C142">
        <v>6.7</v>
      </c>
      <c r="D142">
        <v>3.1</v>
      </c>
      <c r="E142">
        <v>5.6</v>
      </c>
      <c r="F142">
        <v>2.4</v>
      </c>
      <c r="G142" t="s">
        <v>26</v>
      </c>
    </row>
    <row r="143" spans="2:7" x14ac:dyDescent="0.4">
      <c r="B143">
        <v>142</v>
      </c>
      <c r="C143">
        <v>6.9</v>
      </c>
      <c r="D143">
        <v>3.1</v>
      </c>
      <c r="E143">
        <v>5.0999999999999996</v>
      </c>
      <c r="F143">
        <v>2.2999999999999998</v>
      </c>
      <c r="G143" t="s">
        <v>26</v>
      </c>
    </row>
    <row r="144" spans="2:7" x14ac:dyDescent="0.4">
      <c r="B144">
        <v>143</v>
      </c>
      <c r="C144">
        <v>5.8</v>
      </c>
      <c r="D144">
        <v>2.7</v>
      </c>
      <c r="E144">
        <v>5.0999999999999996</v>
      </c>
      <c r="F144">
        <v>1.9</v>
      </c>
      <c r="G144" t="s">
        <v>26</v>
      </c>
    </row>
    <row r="145" spans="2:7" x14ac:dyDescent="0.4">
      <c r="B145">
        <v>144</v>
      </c>
      <c r="C145">
        <v>6.8</v>
      </c>
      <c r="D145">
        <v>3.2</v>
      </c>
      <c r="E145">
        <v>5.9</v>
      </c>
      <c r="F145">
        <v>2.2999999999999998</v>
      </c>
      <c r="G145" t="s">
        <v>26</v>
      </c>
    </row>
    <row r="146" spans="2:7" x14ac:dyDescent="0.4">
      <c r="B146">
        <v>145</v>
      </c>
      <c r="C146">
        <v>6.7</v>
      </c>
      <c r="D146">
        <v>3.3</v>
      </c>
      <c r="E146">
        <v>5.7</v>
      </c>
      <c r="F146">
        <v>2.5</v>
      </c>
      <c r="G146" t="s">
        <v>26</v>
      </c>
    </row>
    <row r="147" spans="2:7" x14ac:dyDescent="0.4">
      <c r="B147">
        <v>146</v>
      </c>
      <c r="C147">
        <v>6.7</v>
      </c>
      <c r="D147">
        <v>3</v>
      </c>
      <c r="E147">
        <v>5.2</v>
      </c>
      <c r="F147">
        <v>2.2999999999999998</v>
      </c>
      <c r="G147" t="s">
        <v>26</v>
      </c>
    </row>
    <row r="148" spans="2:7" x14ac:dyDescent="0.4">
      <c r="B148">
        <v>147</v>
      </c>
      <c r="C148">
        <v>6.3</v>
      </c>
      <c r="D148">
        <v>2.5</v>
      </c>
      <c r="E148">
        <v>5</v>
      </c>
      <c r="F148">
        <v>1.9</v>
      </c>
      <c r="G148" t="s">
        <v>26</v>
      </c>
    </row>
    <row r="149" spans="2:7" x14ac:dyDescent="0.4">
      <c r="B149">
        <v>148</v>
      </c>
      <c r="C149">
        <v>6.5</v>
      </c>
      <c r="D149">
        <v>3</v>
      </c>
      <c r="E149">
        <v>5.2</v>
      </c>
      <c r="F149">
        <v>2</v>
      </c>
      <c r="G149" t="s">
        <v>26</v>
      </c>
    </row>
    <row r="150" spans="2:7" x14ac:dyDescent="0.4">
      <c r="B150">
        <v>149</v>
      </c>
      <c r="C150">
        <v>6.2</v>
      </c>
      <c r="D150">
        <v>3.4</v>
      </c>
      <c r="E150">
        <v>5.4</v>
      </c>
      <c r="F150">
        <v>2.2999999999999998</v>
      </c>
      <c r="G150" t="s">
        <v>26</v>
      </c>
    </row>
    <row r="151" spans="2:7" x14ac:dyDescent="0.4">
      <c r="B151">
        <v>150</v>
      </c>
      <c r="C151">
        <v>5.9</v>
      </c>
      <c r="D151">
        <v>3</v>
      </c>
      <c r="E151">
        <v>5.0999999999999996</v>
      </c>
      <c r="F151">
        <v>1.8</v>
      </c>
      <c r="G151" t="s">
        <v>26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003F-D26A-4AC1-911B-660BB7DC6089}">
  <dimension ref="A1:R51"/>
  <sheetViews>
    <sheetView topLeftCell="A69" workbookViewId="0">
      <selection activeCell="R4" sqref="R4"/>
    </sheetView>
  </sheetViews>
  <sheetFormatPr defaultRowHeight="14.6" x14ac:dyDescent="0.4"/>
  <cols>
    <col min="3" max="3" width="10.4609375" customWidth="1"/>
    <col min="11" max="11" width="14.3828125" customWidth="1"/>
    <col min="12" max="12" width="13.61328125" customWidth="1"/>
    <col min="13" max="13" width="16.53515625" customWidth="1"/>
    <col min="14" max="14" width="14.921875" customWidth="1"/>
    <col min="17" max="17" width="12.3046875" customWidth="1"/>
  </cols>
  <sheetData>
    <row r="1" spans="1:18" x14ac:dyDescent="0.4">
      <c r="A1" s="15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I1" s="15" t="s">
        <v>27</v>
      </c>
      <c r="K1" s="15" t="s">
        <v>19</v>
      </c>
      <c r="L1" s="15" t="s">
        <v>20</v>
      </c>
      <c r="M1" s="15" t="s">
        <v>21</v>
      </c>
      <c r="N1" s="15" t="s">
        <v>22</v>
      </c>
    </row>
    <row r="2" spans="1:18" x14ac:dyDescent="0.4">
      <c r="B2">
        <v>101</v>
      </c>
      <c r="C2">
        <v>6.3</v>
      </c>
      <c r="D2">
        <v>3.3</v>
      </c>
      <c r="E2">
        <v>6</v>
      </c>
      <c r="F2">
        <v>2.5</v>
      </c>
      <c r="G2" t="s">
        <v>26</v>
      </c>
      <c r="J2" t="s">
        <v>28</v>
      </c>
      <c r="K2">
        <f>MAX(C2:C51)</f>
        <v>7.9</v>
      </c>
      <c r="L2">
        <f>MAX(D2:D51)</f>
        <v>3.8</v>
      </c>
      <c r="M2">
        <f>MAX(E2:E51)</f>
        <v>6.9</v>
      </c>
      <c r="N2">
        <f>MAX(F2:F51)</f>
        <v>2.5</v>
      </c>
      <c r="Q2" t="s">
        <v>59</v>
      </c>
      <c r="R2" t="s">
        <v>60</v>
      </c>
    </row>
    <row r="3" spans="1:18" x14ac:dyDescent="0.4">
      <c r="B3">
        <v>102</v>
      </c>
      <c r="C3">
        <v>5.8</v>
      </c>
      <c r="D3">
        <v>2.7</v>
      </c>
      <c r="E3">
        <v>5.0999999999999996</v>
      </c>
      <c r="F3">
        <v>1.9</v>
      </c>
      <c r="G3" t="s">
        <v>26</v>
      </c>
      <c r="J3" t="s">
        <v>29</v>
      </c>
      <c r="K3">
        <f>MIN(C2:C51)</f>
        <v>4.9000000000000004</v>
      </c>
      <c r="L3">
        <f>MIN(D2:D51)</f>
        <v>2.2000000000000002</v>
      </c>
      <c r="M3">
        <f>MIN(E2:E51)</f>
        <v>4.5</v>
      </c>
      <c r="N3">
        <f>MIN(F2:F51)</f>
        <v>1.4</v>
      </c>
      <c r="Q3" t="s">
        <v>19</v>
      </c>
      <c r="R3">
        <v>6.3</v>
      </c>
    </row>
    <row r="4" spans="1:18" x14ac:dyDescent="0.4">
      <c r="B4">
        <v>103</v>
      </c>
      <c r="C4">
        <v>7.1</v>
      </c>
      <c r="D4">
        <v>3</v>
      </c>
      <c r="E4">
        <v>5.9</v>
      </c>
      <c r="F4">
        <v>2.1</v>
      </c>
      <c r="G4" t="s">
        <v>26</v>
      </c>
      <c r="J4" s="15" t="s">
        <v>30</v>
      </c>
      <c r="K4">
        <f>K2-K3</f>
        <v>3</v>
      </c>
      <c r="L4">
        <f>L2-L3</f>
        <v>1.5999999999999996</v>
      </c>
      <c r="M4">
        <f>M2-M3</f>
        <v>2.4000000000000004</v>
      </c>
      <c r="N4">
        <f>N2-N3</f>
        <v>1.1000000000000001</v>
      </c>
      <c r="Q4" t="s">
        <v>20</v>
      </c>
      <c r="R4">
        <v>3.3</v>
      </c>
    </row>
    <row r="5" spans="1:18" x14ac:dyDescent="0.4">
      <c r="B5">
        <v>104</v>
      </c>
      <c r="C5">
        <v>6.3</v>
      </c>
      <c r="D5">
        <v>2.9</v>
      </c>
      <c r="E5">
        <v>5.6</v>
      </c>
      <c r="F5">
        <v>1.8</v>
      </c>
      <c r="G5" t="s">
        <v>26</v>
      </c>
      <c r="J5" t="s">
        <v>32</v>
      </c>
      <c r="K5" s="16">
        <f>AVERAGE(C2:C51)</f>
        <v>6.5879999999999983</v>
      </c>
      <c r="L5" s="16">
        <f>AVERAGE(D2:D51)</f>
        <v>2.9739999999999998</v>
      </c>
      <c r="M5" s="16">
        <f>AVERAGE(E2:E51)</f>
        <v>5.5519999999999996</v>
      </c>
      <c r="N5" s="16">
        <f>AVERAGE(F2:F51)</f>
        <v>2.0259999999999998</v>
      </c>
      <c r="Q5" t="s">
        <v>21</v>
      </c>
      <c r="R5">
        <v>6</v>
      </c>
    </row>
    <row r="6" spans="1:18" x14ac:dyDescent="0.4">
      <c r="B6">
        <v>105</v>
      </c>
      <c r="C6">
        <v>6.5</v>
      </c>
      <c r="D6">
        <v>3</v>
      </c>
      <c r="E6">
        <v>5.8</v>
      </c>
      <c r="F6">
        <v>2.2000000000000002</v>
      </c>
      <c r="G6" t="s">
        <v>26</v>
      </c>
      <c r="J6" t="s">
        <v>33</v>
      </c>
      <c r="K6" s="50">
        <f>MEDIAN(C2:C51)</f>
        <v>6.5</v>
      </c>
      <c r="L6" s="50">
        <f>MEDIAN(D2:D51)</f>
        <v>3</v>
      </c>
      <c r="M6" s="50">
        <f>MEDIAN(E2:E51)</f>
        <v>5.55</v>
      </c>
      <c r="N6" s="50">
        <f>MEDIAN(F2:F51)</f>
        <v>2</v>
      </c>
      <c r="Q6" t="s">
        <v>22</v>
      </c>
      <c r="R6">
        <v>2.5</v>
      </c>
    </row>
    <row r="7" spans="1:18" x14ac:dyDescent="0.4">
      <c r="B7">
        <v>106</v>
      </c>
      <c r="C7">
        <v>7.6</v>
      </c>
      <c r="D7">
        <v>3</v>
      </c>
      <c r="E7">
        <v>6.6</v>
      </c>
      <c r="F7">
        <v>2.1</v>
      </c>
      <c r="G7" t="s">
        <v>26</v>
      </c>
      <c r="I7" s="15" t="s">
        <v>31</v>
      </c>
      <c r="J7" s="15">
        <v>0.25</v>
      </c>
      <c r="K7" s="15">
        <f>_xlfn.PERCENTILE.EXC(C2:C51, 0.25)</f>
        <v>6.2</v>
      </c>
      <c r="L7" s="15">
        <f>_xlfn.PERCENTILE.EXC(D2:D51, 0.25)</f>
        <v>2.8</v>
      </c>
      <c r="M7" s="15">
        <f>_xlfn.PERCENTILE.EXC(E2:E51, 0.25)</f>
        <v>5.0999999999999996</v>
      </c>
      <c r="N7" s="15">
        <f>_xlfn.PERCENTILE.EXC(F2:F51, 0.25)</f>
        <v>1.8</v>
      </c>
      <c r="Q7" t="s">
        <v>19</v>
      </c>
      <c r="R7">
        <v>5.8</v>
      </c>
    </row>
    <row r="8" spans="1:18" x14ac:dyDescent="0.4">
      <c r="B8">
        <v>107</v>
      </c>
      <c r="C8">
        <v>4.9000000000000004</v>
      </c>
      <c r="D8">
        <v>2.5</v>
      </c>
      <c r="E8">
        <v>4.5</v>
      </c>
      <c r="F8">
        <v>1.7</v>
      </c>
      <c r="G8" t="s">
        <v>26</v>
      </c>
      <c r="J8" s="15">
        <v>0.5</v>
      </c>
      <c r="K8" s="49">
        <f>_xlfn.PERCENTILE.EXC(C2:C51,0.5)</f>
        <v>6.5</v>
      </c>
      <c r="L8" s="49">
        <f>_xlfn.PERCENTILE.EXC(D2:D51,0.5)</f>
        <v>3</v>
      </c>
      <c r="M8" s="49">
        <f>_xlfn.PERCENTILE.EXC(E2:E51,0.5)</f>
        <v>5.55</v>
      </c>
      <c r="N8" s="49">
        <f>_xlfn.PERCENTILE.EXC(F2:F51,0.5)</f>
        <v>2</v>
      </c>
      <c r="Q8" t="s">
        <v>20</v>
      </c>
      <c r="R8">
        <v>2.7</v>
      </c>
    </row>
    <row r="9" spans="1:18" x14ac:dyDescent="0.4">
      <c r="B9">
        <v>108</v>
      </c>
      <c r="C9">
        <v>7.3</v>
      </c>
      <c r="D9">
        <v>2.9</v>
      </c>
      <c r="E9">
        <v>6.3</v>
      </c>
      <c r="F9">
        <v>1.8</v>
      </c>
      <c r="G9" t="s">
        <v>26</v>
      </c>
      <c r="J9" s="15">
        <v>0.75</v>
      </c>
      <c r="K9" s="15">
        <f>_xlfn.PERCENTILE.EXC(C2:C51,0.75)</f>
        <v>6.95</v>
      </c>
      <c r="L9" s="15">
        <f>_xlfn.PERCENTILE.EXC(D2:D51,0.75)</f>
        <v>3.2</v>
      </c>
      <c r="M9" s="15">
        <f>_xlfn.PERCENTILE.EXC(E2:E51,0.75)</f>
        <v>5.9</v>
      </c>
      <c r="N9" s="15">
        <f>_xlfn.PERCENTILE.EXC(F2:F51,0.75)</f>
        <v>2.2999999999999998</v>
      </c>
      <c r="O9" s="15"/>
      <c r="Q9" t="s">
        <v>21</v>
      </c>
      <c r="R9">
        <v>5.0999999999999996</v>
      </c>
    </row>
    <row r="10" spans="1:18" x14ac:dyDescent="0.4">
      <c r="B10">
        <v>109</v>
      </c>
      <c r="C10">
        <v>6.7</v>
      </c>
      <c r="D10">
        <v>2.5</v>
      </c>
      <c r="E10">
        <v>5.8</v>
      </c>
      <c r="F10">
        <v>1.8</v>
      </c>
      <c r="G10" t="s">
        <v>26</v>
      </c>
      <c r="Q10" t="s">
        <v>22</v>
      </c>
      <c r="R10">
        <v>1.9</v>
      </c>
    </row>
    <row r="11" spans="1:18" x14ac:dyDescent="0.4">
      <c r="B11">
        <v>110</v>
      </c>
      <c r="C11">
        <v>7.2</v>
      </c>
      <c r="D11">
        <v>3.6</v>
      </c>
      <c r="E11">
        <v>6.1</v>
      </c>
      <c r="F11">
        <v>2.5</v>
      </c>
      <c r="G11" t="s">
        <v>26</v>
      </c>
      <c r="J11" s="15" t="s">
        <v>58</v>
      </c>
      <c r="K11">
        <f>K9-K7</f>
        <v>0.75</v>
      </c>
      <c r="L11">
        <f>L9-L7</f>
        <v>0.40000000000000036</v>
      </c>
      <c r="M11">
        <f>M9-M7</f>
        <v>0.80000000000000071</v>
      </c>
      <c r="N11">
        <f>N9-N7</f>
        <v>0.49999999999999978</v>
      </c>
    </row>
    <row r="12" spans="1:18" x14ac:dyDescent="0.4">
      <c r="B12">
        <v>111</v>
      </c>
      <c r="C12">
        <v>6.5</v>
      </c>
      <c r="D12">
        <v>3.2</v>
      </c>
      <c r="E12">
        <v>5.0999999999999996</v>
      </c>
      <c r="F12">
        <v>2</v>
      </c>
      <c r="G12" t="s">
        <v>26</v>
      </c>
    </row>
    <row r="13" spans="1:18" x14ac:dyDescent="0.4">
      <c r="B13">
        <v>112</v>
      </c>
      <c r="C13">
        <v>6.4</v>
      </c>
      <c r="D13">
        <v>2.7</v>
      </c>
      <c r="E13">
        <v>5.3</v>
      </c>
      <c r="F13">
        <v>1.9</v>
      </c>
      <c r="G13" t="s">
        <v>26</v>
      </c>
    </row>
    <row r="14" spans="1:18" x14ac:dyDescent="0.4">
      <c r="B14">
        <v>113</v>
      </c>
      <c r="C14">
        <v>6.8</v>
      </c>
      <c r="D14">
        <v>3</v>
      </c>
      <c r="E14">
        <v>5.5</v>
      </c>
      <c r="F14">
        <v>2.1</v>
      </c>
      <c r="G14" t="s">
        <v>26</v>
      </c>
    </row>
    <row r="15" spans="1:18" x14ac:dyDescent="0.4">
      <c r="B15">
        <v>114</v>
      </c>
      <c r="C15">
        <v>5.7</v>
      </c>
      <c r="D15">
        <v>2.5</v>
      </c>
      <c r="E15">
        <v>5</v>
      </c>
      <c r="F15">
        <v>2</v>
      </c>
      <c r="G15" t="s">
        <v>26</v>
      </c>
    </row>
    <row r="16" spans="1:18" x14ac:dyDescent="0.4">
      <c r="B16">
        <v>115</v>
      </c>
      <c r="C16">
        <v>5.8</v>
      </c>
      <c r="D16">
        <v>2.8</v>
      </c>
      <c r="E16">
        <v>5.0999999999999996</v>
      </c>
      <c r="F16">
        <v>2.4</v>
      </c>
      <c r="G16" t="s">
        <v>26</v>
      </c>
    </row>
    <row r="17" spans="2:7" x14ac:dyDescent="0.4">
      <c r="B17">
        <v>116</v>
      </c>
      <c r="C17">
        <v>6.4</v>
      </c>
      <c r="D17">
        <v>3.2</v>
      </c>
      <c r="E17">
        <v>5.3</v>
      </c>
      <c r="F17">
        <v>2.2999999999999998</v>
      </c>
      <c r="G17" t="s">
        <v>26</v>
      </c>
    </row>
    <row r="18" spans="2:7" x14ac:dyDescent="0.4">
      <c r="B18">
        <v>117</v>
      </c>
      <c r="C18">
        <v>6.5</v>
      </c>
      <c r="D18">
        <v>3</v>
      </c>
      <c r="E18">
        <v>5.5</v>
      </c>
      <c r="F18">
        <v>1.8</v>
      </c>
      <c r="G18" t="s">
        <v>26</v>
      </c>
    </row>
    <row r="19" spans="2:7" x14ac:dyDescent="0.4">
      <c r="B19">
        <v>118</v>
      </c>
      <c r="C19">
        <v>7.7</v>
      </c>
      <c r="D19">
        <v>3.8</v>
      </c>
      <c r="E19">
        <v>6.7</v>
      </c>
      <c r="F19">
        <v>2.2000000000000002</v>
      </c>
      <c r="G19" t="s">
        <v>26</v>
      </c>
    </row>
    <row r="20" spans="2:7" x14ac:dyDescent="0.4">
      <c r="B20">
        <v>119</v>
      </c>
      <c r="C20">
        <v>7.7</v>
      </c>
      <c r="D20">
        <v>2.6</v>
      </c>
      <c r="E20">
        <v>6.9</v>
      </c>
      <c r="F20">
        <v>2.2999999999999998</v>
      </c>
      <c r="G20" t="s">
        <v>26</v>
      </c>
    </row>
    <row r="21" spans="2:7" x14ac:dyDescent="0.4">
      <c r="B21">
        <v>120</v>
      </c>
      <c r="C21">
        <v>6</v>
      </c>
      <c r="D21">
        <v>2.2000000000000002</v>
      </c>
      <c r="E21">
        <v>5</v>
      </c>
      <c r="F21">
        <v>1.5</v>
      </c>
      <c r="G21" t="s">
        <v>26</v>
      </c>
    </row>
    <row r="22" spans="2:7" x14ac:dyDescent="0.4">
      <c r="B22">
        <v>121</v>
      </c>
      <c r="C22">
        <v>6.9</v>
      </c>
      <c r="D22">
        <v>3.2</v>
      </c>
      <c r="E22">
        <v>5.7</v>
      </c>
      <c r="F22">
        <v>2.2999999999999998</v>
      </c>
      <c r="G22" t="s">
        <v>26</v>
      </c>
    </row>
    <row r="23" spans="2:7" x14ac:dyDescent="0.4">
      <c r="B23">
        <v>122</v>
      </c>
      <c r="C23">
        <v>5.6</v>
      </c>
      <c r="D23">
        <v>2.8</v>
      </c>
      <c r="E23">
        <v>4.9000000000000004</v>
      </c>
      <c r="F23">
        <v>2</v>
      </c>
      <c r="G23" t="s">
        <v>26</v>
      </c>
    </row>
    <row r="24" spans="2:7" x14ac:dyDescent="0.4">
      <c r="B24">
        <v>123</v>
      </c>
      <c r="C24">
        <v>7.7</v>
      </c>
      <c r="D24">
        <v>2.8</v>
      </c>
      <c r="E24">
        <v>6.7</v>
      </c>
      <c r="F24">
        <v>2</v>
      </c>
      <c r="G24" t="s">
        <v>26</v>
      </c>
    </row>
    <row r="25" spans="2:7" x14ac:dyDescent="0.4">
      <c r="B25">
        <v>124</v>
      </c>
      <c r="C25">
        <v>6.3</v>
      </c>
      <c r="D25">
        <v>2.7</v>
      </c>
      <c r="E25">
        <v>4.9000000000000004</v>
      </c>
      <c r="F25">
        <v>1.8</v>
      </c>
      <c r="G25" t="s">
        <v>26</v>
      </c>
    </row>
    <row r="26" spans="2:7" x14ac:dyDescent="0.4">
      <c r="B26">
        <v>125</v>
      </c>
      <c r="C26">
        <v>6.7</v>
      </c>
      <c r="D26">
        <v>3.3</v>
      </c>
      <c r="E26">
        <v>5.7</v>
      </c>
      <c r="F26">
        <v>2.1</v>
      </c>
      <c r="G26" t="s">
        <v>26</v>
      </c>
    </row>
    <row r="27" spans="2:7" x14ac:dyDescent="0.4">
      <c r="B27">
        <v>126</v>
      </c>
      <c r="C27">
        <v>7.2</v>
      </c>
      <c r="D27">
        <v>3.2</v>
      </c>
      <c r="E27">
        <v>6</v>
      </c>
      <c r="F27">
        <v>1.8</v>
      </c>
      <c r="G27" t="s">
        <v>26</v>
      </c>
    </row>
    <row r="28" spans="2:7" x14ac:dyDescent="0.4">
      <c r="B28">
        <v>127</v>
      </c>
      <c r="C28">
        <v>6.2</v>
      </c>
      <c r="D28">
        <v>2.8</v>
      </c>
      <c r="E28">
        <v>4.8</v>
      </c>
      <c r="F28">
        <v>1.8</v>
      </c>
      <c r="G28" t="s">
        <v>26</v>
      </c>
    </row>
    <row r="29" spans="2:7" x14ac:dyDescent="0.4">
      <c r="B29">
        <v>128</v>
      </c>
      <c r="C29">
        <v>6.1</v>
      </c>
      <c r="D29">
        <v>3</v>
      </c>
      <c r="E29">
        <v>4.9000000000000004</v>
      </c>
      <c r="F29">
        <v>1.8</v>
      </c>
      <c r="G29" t="s">
        <v>26</v>
      </c>
    </row>
    <row r="30" spans="2:7" x14ac:dyDescent="0.4">
      <c r="B30">
        <v>129</v>
      </c>
      <c r="C30">
        <v>6.4</v>
      </c>
      <c r="D30">
        <v>2.8</v>
      </c>
      <c r="E30">
        <v>5.6</v>
      </c>
      <c r="F30">
        <v>2.1</v>
      </c>
      <c r="G30" t="s">
        <v>26</v>
      </c>
    </row>
    <row r="31" spans="2:7" x14ac:dyDescent="0.4">
      <c r="B31">
        <v>130</v>
      </c>
      <c r="C31">
        <v>7.2</v>
      </c>
      <c r="D31">
        <v>3</v>
      </c>
      <c r="E31">
        <v>5.8</v>
      </c>
      <c r="F31">
        <v>1.6</v>
      </c>
      <c r="G31" t="s">
        <v>26</v>
      </c>
    </row>
    <row r="32" spans="2:7" x14ac:dyDescent="0.4">
      <c r="B32">
        <v>131</v>
      </c>
      <c r="C32">
        <v>7.4</v>
      </c>
      <c r="D32">
        <v>2.8</v>
      </c>
      <c r="E32">
        <v>6.1</v>
      </c>
      <c r="F32">
        <v>1.9</v>
      </c>
      <c r="G32" t="s">
        <v>26</v>
      </c>
    </row>
    <row r="33" spans="2:7" x14ac:dyDescent="0.4">
      <c r="B33">
        <v>132</v>
      </c>
      <c r="C33">
        <v>7.9</v>
      </c>
      <c r="D33">
        <v>3.8</v>
      </c>
      <c r="E33">
        <v>6.4</v>
      </c>
      <c r="F33">
        <v>2</v>
      </c>
      <c r="G33" t="s">
        <v>26</v>
      </c>
    </row>
    <row r="34" spans="2:7" x14ac:dyDescent="0.4">
      <c r="B34">
        <v>133</v>
      </c>
      <c r="C34">
        <v>6.4</v>
      </c>
      <c r="D34">
        <v>2.8</v>
      </c>
      <c r="E34">
        <v>5.6</v>
      </c>
      <c r="F34">
        <v>2.2000000000000002</v>
      </c>
      <c r="G34" t="s">
        <v>26</v>
      </c>
    </row>
    <row r="35" spans="2:7" x14ac:dyDescent="0.4">
      <c r="B35">
        <v>134</v>
      </c>
      <c r="C35">
        <v>6.3</v>
      </c>
      <c r="D35">
        <v>2.8</v>
      </c>
      <c r="E35">
        <v>5.0999999999999996</v>
      </c>
      <c r="F35">
        <v>1.5</v>
      </c>
      <c r="G35" t="s">
        <v>26</v>
      </c>
    </row>
    <row r="36" spans="2:7" x14ac:dyDescent="0.4">
      <c r="B36">
        <v>135</v>
      </c>
      <c r="C36">
        <v>6.1</v>
      </c>
      <c r="D36">
        <v>2.6</v>
      </c>
      <c r="E36">
        <v>5.6</v>
      </c>
      <c r="F36">
        <v>1.4</v>
      </c>
      <c r="G36" t="s">
        <v>26</v>
      </c>
    </row>
    <row r="37" spans="2:7" x14ac:dyDescent="0.4">
      <c r="B37">
        <v>136</v>
      </c>
      <c r="C37">
        <v>7.7</v>
      </c>
      <c r="D37">
        <v>3</v>
      </c>
      <c r="E37">
        <v>6.1</v>
      </c>
      <c r="F37">
        <v>2.2999999999999998</v>
      </c>
      <c r="G37" t="s">
        <v>26</v>
      </c>
    </row>
    <row r="38" spans="2:7" x14ac:dyDescent="0.4">
      <c r="B38">
        <v>137</v>
      </c>
      <c r="C38">
        <v>6.3</v>
      </c>
      <c r="D38">
        <v>3.4</v>
      </c>
      <c r="E38">
        <v>5.6</v>
      </c>
      <c r="F38">
        <v>2.4</v>
      </c>
      <c r="G38" t="s">
        <v>26</v>
      </c>
    </row>
    <row r="39" spans="2:7" x14ac:dyDescent="0.4">
      <c r="B39">
        <v>138</v>
      </c>
      <c r="C39">
        <v>6.4</v>
      </c>
      <c r="D39">
        <v>3.1</v>
      </c>
      <c r="E39">
        <v>5.5</v>
      </c>
      <c r="F39">
        <v>1.8</v>
      </c>
      <c r="G39" t="s">
        <v>26</v>
      </c>
    </row>
    <row r="40" spans="2:7" x14ac:dyDescent="0.4">
      <c r="B40">
        <v>139</v>
      </c>
      <c r="C40">
        <v>6</v>
      </c>
      <c r="D40">
        <v>3</v>
      </c>
      <c r="E40">
        <v>4.8</v>
      </c>
      <c r="F40">
        <v>1.8</v>
      </c>
      <c r="G40" t="s">
        <v>26</v>
      </c>
    </row>
    <row r="41" spans="2:7" x14ac:dyDescent="0.4">
      <c r="B41">
        <v>140</v>
      </c>
      <c r="C41">
        <v>6.9</v>
      </c>
      <c r="D41">
        <v>3.1</v>
      </c>
      <c r="E41">
        <v>5.4</v>
      </c>
      <c r="F41">
        <v>2.1</v>
      </c>
      <c r="G41" t="s">
        <v>26</v>
      </c>
    </row>
    <row r="42" spans="2:7" x14ac:dyDescent="0.4">
      <c r="B42">
        <v>141</v>
      </c>
      <c r="C42">
        <v>6.7</v>
      </c>
      <c r="D42">
        <v>3.1</v>
      </c>
      <c r="E42">
        <v>5.6</v>
      </c>
      <c r="F42">
        <v>2.4</v>
      </c>
      <c r="G42" t="s">
        <v>26</v>
      </c>
    </row>
    <row r="43" spans="2:7" x14ac:dyDescent="0.4">
      <c r="B43">
        <v>142</v>
      </c>
      <c r="C43">
        <v>6.9</v>
      </c>
      <c r="D43">
        <v>3.1</v>
      </c>
      <c r="E43">
        <v>5.0999999999999996</v>
      </c>
      <c r="F43">
        <v>2.2999999999999998</v>
      </c>
      <c r="G43" t="s">
        <v>26</v>
      </c>
    </row>
    <row r="44" spans="2:7" x14ac:dyDescent="0.4">
      <c r="B44">
        <v>143</v>
      </c>
      <c r="C44">
        <v>5.8</v>
      </c>
      <c r="D44">
        <v>2.7</v>
      </c>
      <c r="E44">
        <v>5.0999999999999996</v>
      </c>
      <c r="F44">
        <v>1.9</v>
      </c>
      <c r="G44" t="s">
        <v>26</v>
      </c>
    </row>
    <row r="45" spans="2:7" x14ac:dyDescent="0.4">
      <c r="B45">
        <v>144</v>
      </c>
      <c r="C45">
        <v>6.8</v>
      </c>
      <c r="D45">
        <v>3.2</v>
      </c>
      <c r="E45">
        <v>5.9</v>
      </c>
      <c r="F45">
        <v>2.2999999999999998</v>
      </c>
      <c r="G45" t="s">
        <v>26</v>
      </c>
    </row>
    <row r="46" spans="2:7" x14ac:dyDescent="0.4">
      <c r="B46">
        <v>145</v>
      </c>
      <c r="C46">
        <v>6.7</v>
      </c>
      <c r="D46">
        <v>3.3</v>
      </c>
      <c r="E46">
        <v>5.7</v>
      </c>
      <c r="F46">
        <v>2.5</v>
      </c>
      <c r="G46" t="s">
        <v>26</v>
      </c>
    </row>
    <row r="47" spans="2:7" x14ac:dyDescent="0.4">
      <c r="B47">
        <v>146</v>
      </c>
      <c r="C47">
        <v>6.7</v>
      </c>
      <c r="D47">
        <v>3</v>
      </c>
      <c r="E47">
        <v>5.2</v>
      </c>
      <c r="F47">
        <v>2.2999999999999998</v>
      </c>
      <c r="G47" t="s">
        <v>26</v>
      </c>
    </row>
    <row r="48" spans="2:7" x14ac:dyDescent="0.4">
      <c r="B48">
        <v>147</v>
      </c>
      <c r="C48">
        <v>6.3</v>
      </c>
      <c r="D48">
        <v>2.5</v>
      </c>
      <c r="E48">
        <v>5</v>
      </c>
      <c r="F48">
        <v>1.9</v>
      </c>
      <c r="G48" t="s">
        <v>26</v>
      </c>
    </row>
    <row r="49" spans="2:7" x14ac:dyDescent="0.4">
      <c r="B49">
        <v>148</v>
      </c>
      <c r="C49">
        <v>6.5</v>
      </c>
      <c r="D49">
        <v>3</v>
      </c>
      <c r="E49">
        <v>5.2</v>
      </c>
      <c r="F49">
        <v>2</v>
      </c>
      <c r="G49" t="s">
        <v>26</v>
      </c>
    </row>
    <row r="50" spans="2:7" x14ac:dyDescent="0.4">
      <c r="B50">
        <v>149</v>
      </c>
      <c r="C50">
        <v>6.2</v>
      </c>
      <c r="D50">
        <v>3.4</v>
      </c>
      <c r="E50">
        <v>5.4</v>
      </c>
      <c r="F50">
        <v>2.2999999999999998</v>
      </c>
      <c r="G50" t="s">
        <v>26</v>
      </c>
    </row>
    <row r="51" spans="2:7" x14ac:dyDescent="0.4">
      <c r="B51">
        <v>150</v>
      </c>
      <c r="C51">
        <v>5.9</v>
      </c>
      <c r="D51">
        <v>3</v>
      </c>
      <c r="E51">
        <v>5.0999999999999996</v>
      </c>
      <c r="F51">
        <v>1.8</v>
      </c>
      <c r="G5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DataSets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2022-09-15T13:21:55Z</dcterms:created>
  <dcterms:modified xsi:type="dcterms:W3CDTF">2023-09-28T12:56:11Z</dcterms:modified>
</cp:coreProperties>
</file>