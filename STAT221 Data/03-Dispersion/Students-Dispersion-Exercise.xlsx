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STAT 221-2023\Data tables\"/>
    </mc:Choice>
  </mc:AlternateContent>
  <xr:revisionPtr revIDLastSave="0" documentId="8_{1910D19F-F5C9-466F-9FFB-11FB98934A28}" xr6:coauthVersionLast="47" xr6:coauthVersionMax="47" xr10:uidLastSave="{00000000-0000-0000-0000-000000000000}"/>
  <bookViews>
    <workbookView xWindow="-103" yWindow="-103" windowWidth="22149" windowHeight="13200" xr2:uid="{E4F5B402-211F-40C0-BC85-D9F91E5D6AE0}"/>
  </bookViews>
  <sheets>
    <sheet name="Sheet1" sheetId="1" r:id="rId1"/>
    <sheet name="Sheet2" sheetId="2" r:id="rId2"/>
  </sheets>
  <definedNames>
    <definedName name="_xlchart.v1.0" hidden="1">Sheet1!$A$12:$B$20</definedName>
    <definedName name="_xlchart.v1.1" hidden="1">Sheet1!$C$11</definedName>
    <definedName name="_xlchart.v1.2" hidden="1">Sheet1!$C$12:$C$20</definedName>
    <definedName name="_xlchart.v1.3" hidden="1">Sheet1!$A$12:$B$20</definedName>
    <definedName name="_xlchart.v1.4" hidden="1">Sheet1!$D$11</definedName>
    <definedName name="_xlchart.v1.5" hidden="1">Sheet1!$D$12:$D$20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8" i="1" l="1"/>
  <c r="B37" i="1"/>
  <c r="D28" i="1"/>
  <c r="D27" i="1"/>
  <c r="D26" i="1"/>
  <c r="C7" i="1"/>
</calcChain>
</file>

<file path=xl/sharedStrings.xml><?xml version="1.0" encoding="utf-8"?>
<sst xmlns="http://schemas.openxmlformats.org/spreadsheetml/2006/main" count="89" uniqueCount="33">
  <si>
    <r>
      <rPr>
        <sz val="9"/>
        <color rgb="FFFFFFFF"/>
        <rFont val="Gill Sans MT"/>
        <family val="2"/>
      </rPr>
      <t>FREQUENCY</t>
    </r>
  </si>
  <si>
    <t xml:space="preserve"> PERCENT</t>
  </si>
  <si>
    <r>
      <rPr>
        <sz val="9"/>
        <color rgb="FFFFFFFF"/>
        <rFont val="Gill Sans MT"/>
        <family val="2"/>
      </rPr>
      <t>CUMULATIVE PERCENT</t>
    </r>
  </si>
  <si>
    <r>
      <rPr>
        <sz val="9"/>
        <color rgb="FF231F20"/>
        <rFont val="Gill Sans MT"/>
        <family val="2"/>
      </rPr>
      <t>Valid</t>
    </r>
  </si>
  <si>
    <r>
      <rPr>
        <sz val="9"/>
        <color rgb="FF231F20"/>
        <rFont val="Gill Sans MT"/>
        <family val="2"/>
      </rPr>
      <t>LT HIGH SCHOOL</t>
    </r>
  </si>
  <si>
    <r>
      <rPr>
        <sz val="9"/>
        <color rgb="FF231F20"/>
        <rFont val="Gill Sans MT"/>
        <family val="2"/>
      </rPr>
      <t>HIGH SCHOOL</t>
    </r>
  </si>
  <si>
    <r>
      <rPr>
        <sz val="9"/>
        <color rgb="FF231F20"/>
        <rFont val="Gill Sans MT"/>
        <family val="2"/>
      </rPr>
      <t>JUNIOR COLLEGE</t>
    </r>
  </si>
  <si>
    <r>
      <rPr>
        <sz val="9"/>
        <color rgb="FF231F20"/>
        <rFont val="Gill Sans MT"/>
        <family val="2"/>
      </rPr>
      <t>BACHELOR</t>
    </r>
  </si>
  <si>
    <r>
      <rPr>
        <sz val="9"/>
        <color rgb="FF231F20"/>
        <rFont val="Gill Sans MT"/>
        <family val="2"/>
      </rPr>
      <t>GRADUATE</t>
    </r>
  </si>
  <si>
    <t>Total</t>
  </si>
  <si>
    <t>Education by Race in US</t>
  </si>
  <si>
    <t>RACE OF RESPONDENT</t>
  </si>
  <si>
    <t>EDUCATION- LEVEL</t>
  </si>
  <si>
    <t>FREQUENCY</t>
  </si>
  <si>
    <t>CUMULATIVE PERCENT</t>
  </si>
  <si>
    <r>
      <rPr>
        <sz val="9"/>
        <color rgb="FF231F20"/>
        <rFont val="Gill Sans MT"/>
        <family val="2"/>
      </rPr>
      <t>WHITE</t>
    </r>
  </si>
  <si>
    <r>
      <rPr>
        <sz val="9"/>
        <color rgb="FF231F20"/>
        <rFont val="Gill Sans MT"/>
        <family val="2"/>
      </rPr>
      <t>Less than 12 Years</t>
    </r>
  </si>
  <si>
    <r>
      <rPr>
        <sz val="9"/>
        <color rgb="FF231F20"/>
        <rFont val="Gill Sans MT"/>
        <family val="2"/>
      </rPr>
      <t>12 Years</t>
    </r>
  </si>
  <si>
    <r>
      <rPr>
        <sz val="9"/>
        <color rgb="FF231F20"/>
        <rFont val="Gill Sans MT"/>
        <family val="2"/>
      </rPr>
      <t>More than 12 Years</t>
    </r>
  </si>
  <si>
    <r>
      <rPr>
        <sz val="9"/>
        <color rgb="FF231F20"/>
        <rFont val="Gill Sans MT"/>
        <family val="2"/>
      </rPr>
      <t>BLACK</t>
    </r>
  </si>
  <si>
    <r>
      <rPr>
        <sz val="9"/>
        <color rgb="FF231F20"/>
        <rFont val="Gill Sans MT"/>
        <family val="2"/>
      </rPr>
      <t>OTHER</t>
    </r>
  </si>
  <si>
    <t>Sorted Data</t>
  </si>
  <si>
    <t>Quintiles</t>
  </si>
  <si>
    <t>Values</t>
  </si>
  <si>
    <t>Mean</t>
  </si>
  <si>
    <t>Median</t>
  </si>
  <si>
    <t>Sl no</t>
  </si>
  <si>
    <t>Sepal.Length</t>
  </si>
  <si>
    <t>Sepal.Width</t>
  </si>
  <si>
    <t>Petal.Length</t>
  </si>
  <si>
    <t>Petal.Width</t>
  </si>
  <si>
    <t>Species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</si>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</sst>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Gill Sans MT"/>
      <family val="2"/>
    </font>
    <font>
      <sz val="9"/>
      <color rgb="FFFFFFFF"/>
      <name val="Gill Sans MT"/>
      <family val="2"/>
    </font>
    <font>
      <sz val="9"/>
      <color rgb="FF231F20"/>
      <name val="Gill Sans MT"/>
      <family val="2"/>
    </font>
    <font>
      <sz val="14"/>
      <color theme="1"/>
      <name val="Calibri"/>
      <family val="2"/>
      <scheme val="minor"/>
    </font>
    <font>
      <b/>
      <sz val="14"/>
      <name val="Gill Sans MT"/>
      <family val="2"/>
    </font>
    <font>
      <sz val="11"/>
      <color theme="0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rgb="FF2AB67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 style="thin">
        <color rgb="FF00AEEF"/>
      </right>
      <top/>
      <bottom/>
      <diagonal/>
    </border>
    <border>
      <left style="thin">
        <color rgb="FF00AEEF"/>
      </left>
      <right/>
      <top/>
      <bottom/>
      <diagonal/>
    </border>
    <border>
      <left/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/>
      <top/>
      <bottom style="thin">
        <color rgb="FF00AE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right" vertical="top" indent="2" shrinkToFit="1"/>
    </xf>
    <xf numFmtId="164" fontId="4" fillId="0" borderId="3" xfId="0" applyNumberFormat="1" applyFont="1" applyBorder="1" applyAlignment="1">
      <alignment horizontal="right" vertical="top" indent="3" shrinkToFit="1"/>
    </xf>
    <xf numFmtId="0" fontId="0" fillId="0" borderId="0" xfId="0" applyAlignment="1">
      <alignment horizontal="left" wrapText="1"/>
    </xf>
    <xf numFmtId="0" fontId="2" fillId="0" borderId="4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right" vertical="top" indent="2" shrinkToFit="1"/>
    </xf>
    <xf numFmtId="164" fontId="4" fillId="0" borderId="6" xfId="0" applyNumberFormat="1" applyFont="1" applyBorder="1" applyAlignment="1">
      <alignment horizontal="right" vertical="top" indent="3" shrinkToFit="1"/>
    </xf>
    <xf numFmtId="1" fontId="0" fillId="0" borderId="0" xfId="0" applyNumberFormat="1"/>
    <xf numFmtId="0" fontId="5" fillId="0" borderId="0" xfId="0" applyFont="1"/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top" wrapText="1"/>
    </xf>
    <xf numFmtId="1" fontId="4" fillId="0" borderId="7" xfId="0" applyNumberFormat="1" applyFont="1" applyBorder="1" applyAlignment="1">
      <alignment horizontal="center" vertical="top" shrinkToFit="1"/>
    </xf>
    <xf numFmtId="164" fontId="4" fillId="0" borderId="7" xfId="0" applyNumberFormat="1" applyFont="1" applyBorder="1" applyAlignment="1">
      <alignment horizontal="right" vertical="top" indent="2" shrinkToFit="1"/>
    </xf>
    <xf numFmtId="164" fontId="4" fillId="0" borderId="7" xfId="0" applyNumberFormat="1" applyFont="1" applyBorder="1" applyAlignment="1">
      <alignment horizontal="right" vertical="top" indent="3" shrinkToFit="1"/>
    </xf>
    <xf numFmtId="0" fontId="0" fillId="0" borderId="7" xfId="0" applyBorder="1" applyAlignment="1">
      <alignment wrapText="1"/>
    </xf>
    <xf numFmtId="0" fontId="2" fillId="3" borderId="7" xfId="0" applyFont="1" applyFill="1" applyBorder="1" applyAlignment="1">
      <alignment vertical="top" wrapText="1"/>
    </xf>
    <xf numFmtId="0" fontId="2" fillId="3" borderId="7" xfId="0" applyFont="1" applyFill="1" applyBorder="1" applyAlignment="1">
      <alignment horizontal="center" vertical="top" wrapText="1"/>
    </xf>
    <xf numFmtId="1" fontId="4" fillId="3" borderId="7" xfId="0" applyNumberFormat="1" applyFont="1" applyFill="1" applyBorder="1" applyAlignment="1">
      <alignment horizontal="center" vertical="top" shrinkToFit="1"/>
    </xf>
    <xf numFmtId="164" fontId="4" fillId="3" borderId="7" xfId="0" applyNumberFormat="1" applyFont="1" applyFill="1" applyBorder="1" applyAlignment="1">
      <alignment horizontal="right" vertical="top" indent="2" shrinkToFit="1"/>
    </xf>
    <xf numFmtId="164" fontId="4" fillId="3" borderId="7" xfId="0" applyNumberFormat="1" applyFont="1" applyFill="1" applyBorder="1" applyAlignment="1">
      <alignment horizontal="right" vertical="top" indent="3" shrinkToFit="1"/>
    </xf>
    <xf numFmtId="0" fontId="0" fillId="3" borderId="7" xfId="0" applyFill="1" applyBorder="1" applyAlignment="1">
      <alignment wrapText="1"/>
    </xf>
    <xf numFmtId="0" fontId="2" fillId="4" borderId="7" xfId="0" applyFont="1" applyFill="1" applyBorder="1" applyAlignment="1">
      <alignment vertical="top" wrapText="1"/>
    </xf>
    <xf numFmtId="1" fontId="4" fillId="4" borderId="7" xfId="0" applyNumberFormat="1" applyFont="1" applyFill="1" applyBorder="1" applyAlignment="1">
      <alignment horizontal="center" vertical="top" shrinkToFit="1"/>
    </xf>
    <xf numFmtId="164" fontId="4" fillId="4" borderId="7" xfId="0" applyNumberFormat="1" applyFont="1" applyFill="1" applyBorder="1" applyAlignment="1">
      <alignment horizontal="right" vertical="top" indent="2" shrinkToFit="1"/>
    </xf>
    <xf numFmtId="164" fontId="4" fillId="4" borderId="7" xfId="0" applyNumberFormat="1" applyFont="1" applyFill="1" applyBorder="1" applyAlignment="1">
      <alignment horizontal="right" vertical="top" indent="3" shrinkToFit="1"/>
    </xf>
    <xf numFmtId="0" fontId="0" fillId="4" borderId="7" xfId="0" applyFill="1" applyBorder="1" applyAlignment="1">
      <alignment wrapText="1"/>
    </xf>
    <xf numFmtId="0" fontId="1" fillId="0" borderId="0" xfId="0" applyFont="1"/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DD4CCB8D-381B-4F88-859C-73F47B04C992}">
          <cx:tx>
            <cx:txData>
              <cx:f>_xlchart.v1.1</cx:f>
              <cx:v>FREQUENCY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sunburst" uniqueId="{6B9E83EE-8FBB-468B-BA0B-AF85304080B1}">
          <cx:tx>
            <cx:txData>
              <cx:f>_xlchart.v1.4</cx:f>
              <cx:v> PERCENT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6</xdr:row>
      <xdr:rowOff>27213</xdr:rowOff>
    </xdr:from>
    <xdr:to>
      <xdr:col>14</xdr:col>
      <xdr:colOff>609600</xdr:colOff>
      <xdr:row>18</xdr:row>
      <xdr:rowOff>130628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29B2200-3E82-7D20-D805-F32424D4C9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3678" y="2008413"/>
              <a:ext cx="6049736" cy="36957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84364</xdr:colOff>
      <xdr:row>5</xdr:row>
      <xdr:rowOff>348341</xdr:rowOff>
    </xdr:from>
    <xdr:to>
      <xdr:col>22</xdr:col>
      <xdr:colOff>391886</xdr:colOff>
      <xdr:row>18</xdr:row>
      <xdr:rowOff>43542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6D4353F-0AF8-1824-F6DE-70DB7BA459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61321" y="1970312"/>
              <a:ext cx="4879522" cy="36467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AA3B-5FB7-43F9-8CC3-F58E8E6D2B3A}">
  <dimension ref="A1:E38"/>
  <sheetViews>
    <sheetView tabSelected="1" topLeftCell="A4" workbookViewId="0">
      <selection activeCell="D11" activeCellId="1" sqref="A11:B20 D11:D20"/>
    </sheetView>
  </sheetViews>
  <sheetFormatPr defaultRowHeight="14.6" x14ac:dyDescent="0.4"/>
  <cols>
    <col min="3" max="3" width="16.84375" customWidth="1"/>
    <col min="4" max="4" width="17.3046875" customWidth="1"/>
    <col min="5" max="5" width="18.69140625" customWidth="1"/>
  </cols>
  <sheetData>
    <row r="1" spans="1:5" ht="28.3" x14ac:dyDescent="0.4">
      <c r="A1" s="37"/>
      <c r="B1" s="38"/>
      <c r="C1" s="1" t="s">
        <v>0</v>
      </c>
      <c r="D1" s="2" t="s">
        <v>1</v>
      </c>
      <c r="E1" s="3" t="s">
        <v>2</v>
      </c>
    </row>
    <row r="2" spans="1:5" ht="28.3" x14ac:dyDescent="0.4">
      <c r="A2" s="4" t="s">
        <v>3</v>
      </c>
      <c r="B2" s="5" t="s">
        <v>4</v>
      </c>
      <c r="C2" s="6">
        <v>691</v>
      </c>
      <c r="D2" s="7">
        <v>15.3</v>
      </c>
      <c r="E2" s="8">
        <v>15.3</v>
      </c>
    </row>
    <row r="3" spans="1:5" ht="28.3" x14ac:dyDescent="0.4">
      <c r="A3" s="9"/>
      <c r="B3" s="5" t="s">
        <v>5</v>
      </c>
      <c r="C3" s="6">
        <v>2273</v>
      </c>
      <c r="D3" s="7">
        <v>50.4</v>
      </c>
      <c r="E3" s="8">
        <v>65.8</v>
      </c>
    </row>
    <row r="4" spans="1:5" ht="28.3" x14ac:dyDescent="0.4">
      <c r="A4" s="9"/>
      <c r="B4" s="5" t="s">
        <v>6</v>
      </c>
      <c r="C4" s="6">
        <v>377</v>
      </c>
      <c r="D4" s="7">
        <v>8.4</v>
      </c>
      <c r="E4" s="8">
        <v>74.099999999999994</v>
      </c>
    </row>
    <row r="5" spans="1:5" x14ac:dyDescent="0.4">
      <c r="A5" s="9"/>
      <c r="B5" s="5" t="s">
        <v>7</v>
      </c>
      <c r="C5" s="6">
        <v>763</v>
      </c>
      <c r="D5" s="7">
        <v>16.899999999999999</v>
      </c>
      <c r="E5" s="8">
        <v>91.1</v>
      </c>
    </row>
    <row r="6" spans="1:5" ht="28.3" x14ac:dyDescent="0.4">
      <c r="A6" s="9"/>
      <c r="B6" s="10" t="s">
        <v>8</v>
      </c>
      <c r="C6" s="11">
        <v>403</v>
      </c>
      <c r="D6" s="12">
        <v>8.9</v>
      </c>
      <c r="E6" s="13">
        <v>100</v>
      </c>
    </row>
    <row r="7" spans="1:5" x14ac:dyDescent="0.4">
      <c r="B7" s="5" t="s">
        <v>9</v>
      </c>
      <c r="C7" s="14">
        <f>SUM(C2:C6)</f>
        <v>4507</v>
      </c>
    </row>
    <row r="10" spans="1:5" ht="21" x14ac:dyDescent="0.5">
      <c r="A10" s="15"/>
      <c r="B10" s="39" t="s">
        <v>10</v>
      </c>
      <c r="C10" s="39"/>
      <c r="D10" s="39"/>
      <c r="E10" s="39"/>
    </row>
    <row r="11" spans="1:5" ht="47.6" x14ac:dyDescent="0.4">
      <c r="A11" s="16" t="s">
        <v>11</v>
      </c>
      <c r="B11" s="17" t="s">
        <v>12</v>
      </c>
      <c r="C11" s="18" t="s">
        <v>13</v>
      </c>
      <c r="D11" s="18" t="s">
        <v>1</v>
      </c>
      <c r="E11" s="19" t="s">
        <v>14</v>
      </c>
    </row>
    <row r="12" spans="1:5" ht="28.3" x14ac:dyDescent="0.4">
      <c r="A12" s="20" t="s">
        <v>15</v>
      </c>
      <c r="B12" s="20" t="s">
        <v>16</v>
      </c>
      <c r="C12" s="21">
        <v>428</v>
      </c>
      <c r="D12" s="22">
        <v>13</v>
      </c>
      <c r="E12" s="23">
        <v>13</v>
      </c>
    </row>
    <row r="13" spans="1:5" x14ac:dyDescent="0.4">
      <c r="A13" s="24"/>
      <c r="B13" s="20" t="s">
        <v>17</v>
      </c>
      <c r="C13" s="21">
        <v>917</v>
      </c>
      <c r="D13" s="22">
        <v>27.9</v>
      </c>
      <c r="E13" s="23">
        <v>41</v>
      </c>
    </row>
    <row r="14" spans="1:5" ht="28.3" x14ac:dyDescent="0.4">
      <c r="A14" s="24"/>
      <c r="B14" s="20" t="s">
        <v>18</v>
      </c>
      <c r="C14" s="21">
        <v>1939</v>
      </c>
      <c r="D14" s="22">
        <v>59</v>
      </c>
      <c r="E14" s="23">
        <v>100</v>
      </c>
    </row>
    <row r="15" spans="1:5" ht="28.3" x14ac:dyDescent="0.4">
      <c r="A15" s="25" t="s">
        <v>19</v>
      </c>
      <c r="B15" s="26" t="s">
        <v>16</v>
      </c>
      <c r="C15" s="27">
        <v>137</v>
      </c>
      <c r="D15" s="28">
        <v>21.6</v>
      </c>
      <c r="E15" s="29">
        <v>21.6</v>
      </c>
    </row>
    <row r="16" spans="1:5" x14ac:dyDescent="0.4">
      <c r="A16" s="30"/>
      <c r="B16" s="25" t="s">
        <v>17</v>
      </c>
      <c r="C16" s="27">
        <v>165</v>
      </c>
      <c r="D16" s="28">
        <v>26</v>
      </c>
      <c r="E16" s="29">
        <v>47.6</v>
      </c>
    </row>
    <row r="17" spans="1:5" ht="28.3" x14ac:dyDescent="0.4">
      <c r="A17" s="30"/>
      <c r="B17" s="25" t="s">
        <v>18</v>
      </c>
      <c r="C17" s="27">
        <v>332</v>
      </c>
      <c r="D17" s="28">
        <v>52.4</v>
      </c>
      <c r="E17" s="29">
        <v>100</v>
      </c>
    </row>
    <row r="18" spans="1:5" ht="28.3" x14ac:dyDescent="0.4">
      <c r="A18" s="31" t="s">
        <v>20</v>
      </c>
      <c r="B18" s="31" t="s">
        <v>16</v>
      </c>
      <c r="C18" s="32">
        <v>216</v>
      </c>
      <c r="D18" s="33">
        <v>36.5</v>
      </c>
      <c r="E18" s="34">
        <v>36.5</v>
      </c>
    </row>
    <row r="19" spans="1:5" x14ac:dyDescent="0.4">
      <c r="A19" s="35"/>
      <c r="B19" s="31" t="s">
        <v>17</v>
      </c>
      <c r="C19" s="32">
        <v>122</v>
      </c>
      <c r="D19" s="33">
        <v>20.6</v>
      </c>
      <c r="E19" s="34">
        <v>57.1</v>
      </c>
    </row>
    <row r="20" spans="1:5" ht="28.3" x14ac:dyDescent="0.4">
      <c r="A20" s="35"/>
      <c r="B20" s="31" t="s">
        <v>18</v>
      </c>
      <c r="C20" s="32">
        <v>254</v>
      </c>
      <c r="D20" s="33">
        <v>42.9</v>
      </c>
      <c r="E20" s="34">
        <v>100</v>
      </c>
    </row>
    <row r="25" spans="1:5" x14ac:dyDescent="0.4">
      <c r="A25" s="36" t="s">
        <v>21</v>
      </c>
      <c r="B25" s="36"/>
      <c r="C25" t="s">
        <v>22</v>
      </c>
      <c r="D25" t="s">
        <v>23</v>
      </c>
    </row>
    <row r="26" spans="1:5" x14ac:dyDescent="0.4">
      <c r="A26">
        <v>0</v>
      </c>
      <c r="C26">
        <v>0.25</v>
      </c>
      <c r="D26" s="36">
        <f>PERCENTILE(A26:A35,C26)</f>
        <v>2.25</v>
      </c>
    </row>
    <row r="27" spans="1:5" x14ac:dyDescent="0.4">
      <c r="A27">
        <v>2</v>
      </c>
      <c r="C27">
        <v>0.5</v>
      </c>
      <c r="D27" s="36">
        <f>PERCENTILE(A26:A35,C27)</f>
        <v>4.5</v>
      </c>
    </row>
    <row r="28" spans="1:5" x14ac:dyDescent="0.4">
      <c r="A28">
        <v>2</v>
      </c>
      <c r="C28">
        <v>0.75</v>
      </c>
      <c r="D28" s="36">
        <f>PERCENTILE(A26:A35,C28)</f>
        <v>7.75</v>
      </c>
    </row>
    <row r="29" spans="1:5" x14ac:dyDescent="0.4">
      <c r="A29">
        <v>3</v>
      </c>
    </row>
    <row r="30" spans="1:5" x14ac:dyDescent="0.4">
      <c r="A30">
        <v>4</v>
      </c>
    </row>
    <row r="31" spans="1:5" x14ac:dyDescent="0.4">
      <c r="A31">
        <v>5</v>
      </c>
    </row>
    <row r="32" spans="1:5" x14ac:dyDescent="0.4">
      <c r="A32">
        <v>7</v>
      </c>
    </row>
    <row r="33" spans="1:2" x14ac:dyDescent="0.4">
      <c r="A33">
        <v>8</v>
      </c>
    </row>
    <row r="34" spans="1:2" x14ac:dyDescent="0.4">
      <c r="A34">
        <v>11</v>
      </c>
    </row>
    <row r="35" spans="1:2" x14ac:dyDescent="0.4">
      <c r="A35">
        <v>13</v>
      </c>
    </row>
    <row r="37" spans="1:2" x14ac:dyDescent="0.4">
      <c r="A37" t="s">
        <v>24</v>
      </c>
      <c r="B37">
        <f>AVERAGE(A26:A35)</f>
        <v>5.5</v>
      </c>
    </row>
    <row r="38" spans="1:2" x14ac:dyDescent="0.4">
      <c r="A38" t="s">
        <v>25</v>
      </c>
      <c r="B38" s="36">
        <f>MEDIAN(A26:A35)</f>
        <v>4.5</v>
      </c>
    </row>
  </sheetData>
  <mergeCells count="2">
    <mergeCell ref="A1:B1"/>
    <mergeCell ref="B10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3B19-EFCF-4299-8B49-57F205349100}">
  <dimension ref="A1:F51"/>
  <sheetViews>
    <sheetView workbookViewId="0">
      <selection activeCell="A3" sqref="A3"/>
    </sheetView>
  </sheetViews>
  <sheetFormatPr defaultRowHeight="14.6" x14ac:dyDescent="0.4"/>
  <sheetData>
    <row r="1" spans="1:6" x14ac:dyDescent="0.4">
      <c r="A1" s="36" t="s">
        <v>26</v>
      </c>
      <c r="B1" s="36" t="s">
        <v>27</v>
      </c>
      <c r="C1" s="36" t="s">
        <v>28</v>
      </c>
      <c r="D1" s="36" t="s">
        <v>29</v>
      </c>
      <c r="E1" s="36" t="s">
        <v>30</v>
      </c>
      <c r="F1" s="36" t="s">
        <v>31</v>
      </c>
    </row>
    <row r="2" spans="1:6" x14ac:dyDescent="0.4">
      <c r="A2">
        <v>101</v>
      </c>
      <c r="B2">
        <v>6.3</v>
      </c>
      <c r="C2">
        <v>3.3</v>
      </c>
      <c r="D2">
        <v>6</v>
      </c>
      <c r="E2">
        <v>2.5</v>
      </c>
      <c r="F2" t="s">
        <v>32</v>
      </c>
    </row>
    <row r="3" spans="1:6" x14ac:dyDescent="0.4">
      <c r="A3">
        <v>102</v>
      </c>
      <c r="B3">
        <v>5.8</v>
      </c>
      <c r="C3">
        <v>2.7</v>
      </c>
      <c r="D3">
        <v>5.0999999999999996</v>
      </c>
      <c r="E3">
        <v>1.9</v>
      </c>
      <c r="F3" t="s">
        <v>32</v>
      </c>
    </row>
    <row r="4" spans="1:6" x14ac:dyDescent="0.4">
      <c r="A4">
        <v>103</v>
      </c>
      <c r="B4">
        <v>7.1</v>
      </c>
      <c r="C4">
        <v>3</v>
      </c>
      <c r="D4">
        <v>5.9</v>
      </c>
      <c r="E4">
        <v>2.1</v>
      </c>
      <c r="F4" t="s">
        <v>32</v>
      </c>
    </row>
    <row r="5" spans="1:6" x14ac:dyDescent="0.4">
      <c r="A5">
        <v>104</v>
      </c>
      <c r="B5">
        <v>6.3</v>
      </c>
      <c r="C5">
        <v>2.9</v>
      </c>
      <c r="D5">
        <v>5.6</v>
      </c>
      <c r="E5">
        <v>1.8</v>
      </c>
      <c r="F5" t="s">
        <v>32</v>
      </c>
    </row>
    <row r="6" spans="1:6" x14ac:dyDescent="0.4">
      <c r="A6">
        <v>105</v>
      </c>
      <c r="B6">
        <v>6.5</v>
      </c>
      <c r="C6">
        <v>3</v>
      </c>
      <c r="D6">
        <v>5.8</v>
      </c>
      <c r="E6">
        <v>2.2000000000000002</v>
      </c>
      <c r="F6" t="s">
        <v>32</v>
      </c>
    </row>
    <row r="7" spans="1:6" x14ac:dyDescent="0.4">
      <c r="A7">
        <v>106</v>
      </c>
      <c r="B7">
        <v>7.6</v>
      </c>
      <c r="C7">
        <v>3</v>
      </c>
      <c r="D7">
        <v>6.6</v>
      </c>
      <c r="E7">
        <v>2.1</v>
      </c>
      <c r="F7" t="s">
        <v>32</v>
      </c>
    </row>
    <row r="8" spans="1:6" x14ac:dyDescent="0.4">
      <c r="A8">
        <v>107</v>
      </c>
      <c r="B8">
        <v>4.9000000000000004</v>
      </c>
      <c r="C8">
        <v>2.5</v>
      </c>
      <c r="D8">
        <v>4.5</v>
      </c>
      <c r="E8">
        <v>1.7</v>
      </c>
      <c r="F8" t="s">
        <v>32</v>
      </c>
    </row>
    <row r="9" spans="1:6" x14ac:dyDescent="0.4">
      <c r="A9">
        <v>108</v>
      </c>
      <c r="B9">
        <v>7.3</v>
      </c>
      <c r="C9">
        <v>2.9</v>
      </c>
      <c r="D9">
        <v>6.3</v>
      </c>
      <c r="E9">
        <v>1.8</v>
      </c>
      <c r="F9" t="s">
        <v>32</v>
      </c>
    </row>
    <row r="10" spans="1:6" x14ac:dyDescent="0.4">
      <c r="A10">
        <v>109</v>
      </c>
      <c r="B10">
        <v>6.7</v>
      </c>
      <c r="C10">
        <v>2.5</v>
      </c>
      <c r="D10">
        <v>5.8</v>
      </c>
      <c r="E10">
        <v>1.8</v>
      </c>
      <c r="F10" t="s">
        <v>32</v>
      </c>
    </row>
    <row r="11" spans="1:6" x14ac:dyDescent="0.4">
      <c r="A11">
        <v>110</v>
      </c>
      <c r="B11">
        <v>7.2</v>
      </c>
      <c r="C11">
        <v>3.6</v>
      </c>
      <c r="D11">
        <v>6.1</v>
      </c>
      <c r="E11">
        <v>2.5</v>
      </c>
      <c r="F11" t="s">
        <v>32</v>
      </c>
    </row>
    <row r="12" spans="1:6" x14ac:dyDescent="0.4">
      <c r="A12">
        <v>111</v>
      </c>
      <c r="B12">
        <v>6.5</v>
      </c>
      <c r="C12">
        <v>3.2</v>
      </c>
      <c r="D12">
        <v>5.0999999999999996</v>
      </c>
      <c r="E12">
        <v>2</v>
      </c>
      <c r="F12" t="s">
        <v>32</v>
      </c>
    </row>
    <row r="13" spans="1:6" x14ac:dyDescent="0.4">
      <c r="A13">
        <v>112</v>
      </c>
      <c r="B13">
        <v>6.4</v>
      </c>
      <c r="C13">
        <v>2.7</v>
      </c>
      <c r="D13">
        <v>5.3</v>
      </c>
      <c r="E13">
        <v>1.9</v>
      </c>
      <c r="F13" t="s">
        <v>32</v>
      </c>
    </row>
    <row r="14" spans="1:6" x14ac:dyDescent="0.4">
      <c r="A14">
        <v>113</v>
      </c>
      <c r="B14">
        <v>6.8</v>
      </c>
      <c r="C14">
        <v>3</v>
      </c>
      <c r="D14">
        <v>5.5</v>
      </c>
      <c r="E14">
        <v>2.1</v>
      </c>
      <c r="F14" t="s">
        <v>32</v>
      </c>
    </row>
    <row r="15" spans="1:6" x14ac:dyDescent="0.4">
      <c r="A15">
        <v>114</v>
      </c>
      <c r="B15">
        <v>5.7</v>
      </c>
      <c r="C15">
        <v>2.5</v>
      </c>
      <c r="D15">
        <v>5</v>
      </c>
      <c r="E15">
        <v>2</v>
      </c>
      <c r="F15" t="s">
        <v>32</v>
      </c>
    </row>
    <row r="16" spans="1:6" x14ac:dyDescent="0.4">
      <c r="A16">
        <v>115</v>
      </c>
      <c r="B16">
        <v>5.8</v>
      </c>
      <c r="C16">
        <v>2.8</v>
      </c>
      <c r="D16">
        <v>5.0999999999999996</v>
      </c>
      <c r="E16">
        <v>2.4</v>
      </c>
      <c r="F16" t="s">
        <v>32</v>
      </c>
    </row>
    <row r="17" spans="1:6" x14ac:dyDescent="0.4">
      <c r="A17">
        <v>116</v>
      </c>
      <c r="B17">
        <v>6.4</v>
      </c>
      <c r="C17">
        <v>3.2</v>
      </c>
      <c r="D17">
        <v>5.3</v>
      </c>
      <c r="E17">
        <v>2.2999999999999998</v>
      </c>
      <c r="F17" t="s">
        <v>32</v>
      </c>
    </row>
    <row r="18" spans="1:6" x14ac:dyDescent="0.4">
      <c r="A18">
        <v>117</v>
      </c>
      <c r="B18">
        <v>6.5</v>
      </c>
      <c r="C18">
        <v>3</v>
      </c>
      <c r="D18">
        <v>5.5</v>
      </c>
      <c r="E18">
        <v>1.8</v>
      </c>
      <c r="F18" t="s">
        <v>32</v>
      </c>
    </row>
    <row r="19" spans="1:6" x14ac:dyDescent="0.4">
      <c r="A19">
        <v>118</v>
      </c>
      <c r="B19">
        <v>7.7</v>
      </c>
      <c r="C19">
        <v>3.8</v>
      </c>
      <c r="D19">
        <v>6.7</v>
      </c>
      <c r="E19">
        <v>2.2000000000000002</v>
      </c>
      <c r="F19" t="s">
        <v>32</v>
      </c>
    </row>
    <row r="20" spans="1:6" x14ac:dyDescent="0.4">
      <c r="A20">
        <v>119</v>
      </c>
      <c r="B20">
        <v>7.7</v>
      </c>
      <c r="C20">
        <v>2.6</v>
      </c>
      <c r="D20">
        <v>6.9</v>
      </c>
      <c r="E20">
        <v>2.2999999999999998</v>
      </c>
      <c r="F20" t="s">
        <v>32</v>
      </c>
    </row>
    <row r="21" spans="1:6" x14ac:dyDescent="0.4">
      <c r="A21">
        <v>120</v>
      </c>
      <c r="B21">
        <v>6</v>
      </c>
      <c r="C21">
        <v>2.2000000000000002</v>
      </c>
      <c r="D21">
        <v>5</v>
      </c>
      <c r="E21">
        <v>1.5</v>
      </c>
      <c r="F21" t="s">
        <v>32</v>
      </c>
    </row>
    <row r="22" spans="1:6" x14ac:dyDescent="0.4">
      <c r="A22">
        <v>121</v>
      </c>
      <c r="B22">
        <v>6.9</v>
      </c>
      <c r="C22">
        <v>3.2</v>
      </c>
      <c r="D22">
        <v>5.7</v>
      </c>
      <c r="E22">
        <v>2.2999999999999998</v>
      </c>
      <c r="F22" t="s">
        <v>32</v>
      </c>
    </row>
    <row r="23" spans="1:6" x14ac:dyDescent="0.4">
      <c r="A23">
        <v>122</v>
      </c>
      <c r="B23">
        <v>5.6</v>
      </c>
      <c r="C23">
        <v>2.8</v>
      </c>
      <c r="D23">
        <v>4.9000000000000004</v>
      </c>
      <c r="E23">
        <v>2</v>
      </c>
      <c r="F23" t="s">
        <v>32</v>
      </c>
    </row>
    <row r="24" spans="1:6" x14ac:dyDescent="0.4">
      <c r="A24">
        <v>123</v>
      </c>
      <c r="B24">
        <v>7.7</v>
      </c>
      <c r="C24">
        <v>2.8</v>
      </c>
      <c r="D24">
        <v>6.7</v>
      </c>
      <c r="E24">
        <v>2</v>
      </c>
      <c r="F24" t="s">
        <v>32</v>
      </c>
    </row>
    <row r="25" spans="1:6" x14ac:dyDescent="0.4">
      <c r="A25">
        <v>124</v>
      </c>
      <c r="B25">
        <v>6.3</v>
      </c>
      <c r="C25">
        <v>2.7</v>
      </c>
      <c r="D25">
        <v>4.9000000000000004</v>
      </c>
      <c r="E25">
        <v>1.8</v>
      </c>
      <c r="F25" t="s">
        <v>32</v>
      </c>
    </row>
    <row r="26" spans="1:6" x14ac:dyDescent="0.4">
      <c r="A26">
        <v>125</v>
      </c>
      <c r="B26">
        <v>6.7</v>
      </c>
      <c r="C26">
        <v>3.3</v>
      </c>
      <c r="D26">
        <v>5.7</v>
      </c>
      <c r="E26">
        <v>2.1</v>
      </c>
      <c r="F26" t="s">
        <v>32</v>
      </c>
    </row>
    <row r="27" spans="1:6" x14ac:dyDescent="0.4">
      <c r="A27">
        <v>126</v>
      </c>
      <c r="B27">
        <v>7.2</v>
      </c>
      <c r="C27">
        <v>3.2</v>
      </c>
      <c r="D27">
        <v>6</v>
      </c>
      <c r="E27">
        <v>1.8</v>
      </c>
      <c r="F27" t="s">
        <v>32</v>
      </c>
    </row>
    <row r="28" spans="1:6" x14ac:dyDescent="0.4">
      <c r="A28">
        <v>127</v>
      </c>
      <c r="B28">
        <v>6.2</v>
      </c>
      <c r="C28">
        <v>2.8</v>
      </c>
      <c r="D28">
        <v>4.8</v>
      </c>
      <c r="E28">
        <v>1.8</v>
      </c>
      <c r="F28" t="s">
        <v>32</v>
      </c>
    </row>
    <row r="29" spans="1:6" x14ac:dyDescent="0.4">
      <c r="A29">
        <v>128</v>
      </c>
      <c r="B29">
        <v>6.1</v>
      </c>
      <c r="C29">
        <v>3</v>
      </c>
      <c r="D29">
        <v>4.9000000000000004</v>
      </c>
      <c r="E29">
        <v>1.8</v>
      </c>
      <c r="F29" t="s">
        <v>32</v>
      </c>
    </row>
    <row r="30" spans="1:6" x14ac:dyDescent="0.4">
      <c r="A30">
        <v>129</v>
      </c>
      <c r="B30">
        <v>6.4</v>
      </c>
      <c r="C30">
        <v>2.8</v>
      </c>
      <c r="D30">
        <v>5.6</v>
      </c>
      <c r="E30">
        <v>2.1</v>
      </c>
      <c r="F30" t="s">
        <v>32</v>
      </c>
    </row>
    <row r="31" spans="1:6" x14ac:dyDescent="0.4">
      <c r="A31">
        <v>130</v>
      </c>
      <c r="B31">
        <v>7.2</v>
      </c>
      <c r="C31">
        <v>3</v>
      </c>
      <c r="D31">
        <v>5.8</v>
      </c>
      <c r="E31">
        <v>1.6</v>
      </c>
      <c r="F31" t="s">
        <v>32</v>
      </c>
    </row>
    <row r="32" spans="1:6" x14ac:dyDescent="0.4">
      <c r="A32">
        <v>131</v>
      </c>
      <c r="B32">
        <v>7.4</v>
      </c>
      <c r="C32">
        <v>2.8</v>
      </c>
      <c r="D32">
        <v>6.1</v>
      </c>
      <c r="E32">
        <v>1.9</v>
      </c>
      <c r="F32" t="s">
        <v>32</v>
      </c>
    </row>
    <row r="33" spans="1:6" x14ac:dyDescent="0.4">
      <c r="A33">
        <v>132</v>
      </c>
      <c r="B33">
        <v>7.9</v>
      </c>
      <c r="C33">
        <v>3.8</v>
      </c>
      <c r="D33">
        <v>6.4</v>
      </c>
      <c r="E33">
        <v>2</v>
      </c>
      <c r="F33" t="s">
        <v>32</v>
      </c>
    </row>
    <row r="34" spans="1:6" x14ac:dyDescent="0.4">
      <c r="A34">
        <v>133</v>
      </c>
      <c r="B34">
        <v>6.4</v>
      </c>
      <c r="C34">
        <v>2.8</v>
      </c>
      <c r="D34">
        <v>5.6</v>
      </c>
      <c r="E34">
        <v>2.2000000000000002</v>
      </c>
      <c r="F34" t="s">
        <v>32</v>
      </c>
    </row>
    <row r="35" spans="1:6" x14ac:dyDescent="0.4">
      <c r="A35">
        <v>134</v>
      </c>
      <c r="B35">
        <v>6.3</v>
      </c>
      <c r="C35">
        <v>2.8</v>
      </c>
      <c r="D35">
        <v>5.0999999999999996</v>
      </c>
      <c r="E35">
        <v>1.5</v>
      </c>
      <c r="F35" t="s">
        <v>32</v>
      </c>
    </row>
    <row r="36" spans="1:6" x14ac:dyDescent="0.4">
      <c r="A36">
        <v>135</v>
      </c>
      <c r="B36">
        <v>6.1</v>
      </c>
      <c r="C36">
        <v>2.6</v>
      </c>
      <c r="D36">
        <v>5.6</v>
      </c>
      <c r="E36">
        <v>1.4</v>
      </c>
      <c r="F36" t="s">
        <v>32</v>
      </c>
    </row>
    <row r="37" spans="1:6" x14ac:dyDescent="0.4">
      <c r="A37">
        <v>136</v>
      </c>
      <c r="B37">
        <v>7.7</v>
      </c>
      <c r="C37">
        <v>3</v>
      </c>
      <c r="D37">
        <v>6.1</v>
      </c>
      <c r="E37">
        <v>2.2999999999999998</v>
      </c>
      <c r="F37" t="s">
        <v>32</v>
      </c>
    </row>
    <row r="38" spans="1:6" x14ac:dyDescent="0.4">
      <c r="A38">
        <v>137</v>
      </c>
      <c r="B38">
        <v>6.3</v>
      </c>
      <c r="C38">
        <v>3.4</v>
      </c>
      <c r="D38">
        <v>5.6</v>
      </c>
      <c r="E38">
        <v>2.4</v>
      </c>
      <c r="F38" t="s">
        <v>32</v>
      </c>
    </row>
    <row r="39" spans="1:6" x14ac:dyDescent="0.4">
      <c r="A39">
        <v>138</v>
      </c>
      <c r="B39">
        <v>6.4</v>
      </c>
      <c r="C39">
        <v>3.1</v>
      </c>
      <c r="D39">
        <v>5.5</v>
      </c>
      <c r="E39">
        <v>1.8</v>
      </c>
      <c r="F39" t="s">
        <v>32</v>
      </c>
    </row>
    <row r="40" spans="1:6" x14ac:dyDescent="0.4">
      <c r="A40">
        <v>139</v>
      </c>
      <c r="B40">
        <v>6</v>
      </c>
      <c r="C40">
        <v>3</v>
      </c>
      <c r="D40">
        <v>4.8</v>
      </c>
      <c r="E40">
        <v>1.8</v>
      </c>
      <c r="F40" t="s">
        <v>32</v>
      </c>
    </row>
    <row r="41" spans="1:6" x14ac:dyDescent="0.4">
      <c r="A41">
        <v>140</v>
      </c>
      <c r="B41">
        <v>6.9</v>
      </c>
      <c r="C41">
        <v>3.1</v>
      </c>
      <c r="D41">
        <v>5.4</v>
      </c>
      <c r="E41">
        <v>2.1</v>
      </c>
      <c r="F41" t="s">
        <v>32</v>
      </c>
    </row>
    <row r="42" spans="1:6" x14ac:dyDescent="0.4">
      <c r="A42">
        <v>141</v>
      </c>
      <c r="B42">
        <v>6.7</v>
      </c>
      <c r="C42">
        <v>3.1</v>
      </c>
      <c r="D42">
        <v>5.6</v>
      </c>
      <c r="E42">
        <v>2.4</v>
      </c>
      <c r="F42" t="s">
        <v>32</v>
      </c>
    </row>
    <row r="43" spans="1:6" x14ac:dyDescent="0.4">
      <c r="A43">
        <v>142</v>
      </c>
      <c r="B43">
        <v>6.9</v>
      </c>
      <c r="C43">
        <v>3.1</v>
      </c>
      <c r="D43">
        <v>5.0999999999999996</v>
      </c>
      <c r="E43">
        <v>2.2999999999999998</v>
      </c>
      <c r="F43" t="s">
        <v>32</v>
      </c>
    </row>
    <row r="44" spans="1:6" x14ac:dyDescent="0.4">
      <c r="A44">
        <v>143</v>
      </c>
      <c r="B44">
        <v>5.8</v>
      </c>
      <c r="C44">
        <v>2.7</v>
      </c>
      <c r="D44">
        <v>5.0999999999999996</v>
      </c>
      <c r="E44">
        <v>1.9</v>
      </c>
      <c r="F44" t="s">
        <v>32</v>
      </c>
    </row>
    <row r="45" spans="1:6" x14ac:dyDescent="0.4">
      <c r="A45">
        <v>144</v>
      </c>
      <c r="B45">
        <v>6.8</v>
      </c>
      <c r="C45">
        <v>3.2</v>
      </c>
      <c r="D45">
        <v>5.9</v>
      </c>
      <c r="E45">
        <v>2.2999999999999998</v>
      </c>
      <c r="F45" t="s">
        <v>32</v>
      </c>
    </row>
    <row r="46" spans="1:6" x14ac:dyDescent="0.4">
      <c r="A46">
        <v>145</v>
      </c>
      <c r="B46">
        <v>6.7</v>
      </c>
      <c r="C46">
        <v>3.3</v>
      </c>
      <c r="D46">
        <v>5.7</v>
      </c>
      <c r="E46">
        <v>2.5</v>
      </c>
      <c r="F46" t="s">
        <v>32</v>
      </c>
    </row>
    <row r="47" spans="1:6" x14ac:dyDescent="0.4">
      <c r="A47">
        <v>146</v>
      </c>
      <c r="B47">
        <v>6.7</v>
      </c>
      <c r="C47">
        <v>3</v>
      </c>
      <c r="D47">
        <v>5.2</v>
      </c>
      <c r="E47">
        <v>2.2999999999999998</v>
      </c>
      <c r="F47" t="s">
        <v>32</v>
      </c>
    </row>
    <row r="48" spans="1:6" x14ac:dyDescent="0.4">
      <c r="A48">
        <v>147</v>
      </c>
      <c r="B48">
        <v>6.3</v>
      </c>
      <c r="C48">
        <v>2.5</v>
      </c>
      <c r="D48">
        <v>5</v>
      </c>
      <c r="E48">
        <v>1.9</v>
      </c>
      <c r="F48" t="s">
        <v>32</v>
      </c>
    </row>
    <row r="49" spans="1:6" x14ac:dyDescent="0.4">
      <c r="A49">
        <v>148</v>
      </c>
      <c r="B49">
        <v>6.5</v>
      </c>
      <c r="C49">
        <v>3</v>
      </c>
      <c r="D49">
        <v>5.2</v>
      </c>
      <c r="E49">
        <v>2</v>
      </c>
      <c r="F49" t="s">
        <v>32</v>
      </c>
    </row>
    <row r="50" spans="1:6" x14ac:dyDescent="0.4">
      <c r="A50">
        <v>149</v>
      </c>
      <c r="B50">
        <v>6.2</v>
      </c>
      <c r="C50">
        <v>3.4</v>
      </c>
      <c r="D50">
        <v>5.4</v>
      </c>
      <c r="E50">
        <v>2.2999999999999998</v>
      </c>
      <c r="F50" t="s">
        <v>32</v>
      </c>
    </row>
    <row r="51" spans="1:6" x14ac:dyDescent="0.4">
      <c r="A51">
        <v>150</v>
      </c>
      <c r="B51">
        <v>5.9</v>
      </c>
      <c r="C51">
        <v>3</v>
      </c>
      <c r="D51">
        <v>5.0999999999999996</v>
      </c>
      <c r="E51">
        <v>1.8</v>
      </c>
      <c r="F5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2022-09-16T08:23:57Z</dcterms:created>
  <dcterms:modified xsi:type="dcterms:W3CDTF">2023-09-24T11:51:24Z</dcterms:modified>
</cp:coreProperties>
</file>