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STAT 221-2023\Data tables\"/>
    </mc:Choice>
  </mc:AlternateContent>
  <xr:revisionPtr revIDLastSave="0" documentId="13_ncr:1_{151CA536-BC2B-4AF4-8CCC-974B03F1C18A}" xr6:coauthVersionLast="47" xr6:coauthVersionMax="47" xr10:uidLastSave="{00000000-0000-0000-0000-000000000000}"/>
  <bookViews>
    <workbookView xWindow="-103" yWindow="-103" windowWidth="22149" windowHeight="13200" xr2:uid="{BA227BC2-07BA-4DB9-9BC4-878C097B9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H18" i="1"/>
  <c r="E20" i="1"/>
  <c r="E18" i="1"/>
  <c r="B20" i="1"/>
  <c r="B15" i="1"/>
  <c r="B14" i="1"/>
  <c r="B32" i="1" l="1"/>
  <c r="C32" i="1"/>
</calcChain>
</file>

<file path=xl/sharedStrings.xml><?xml version="1.0" encoding="utf-8"?>
<sst xmlns="http://schemas.openxmlformats.org/spreadsheetml/2006/main" count="27" uniqueCount="25">
  <si>
    <t>SIDS</t>
  </si>
  <si>
    <t>t-test</t>
  </si>
  <si>
    <t>xbar (mean)</t>
  </si>
  <si>
    <t>s (std dev)</t>
  </si>
  <si>
    <t>mu</t>
  </si>
  <si>
    <t>Infant weight (gms)</t>
  </si>
  <si>
    <t>n</t>
  </si>
  <si>
    <t>SE_x</t>
  </si>
  <si>
    <t>t</t>
  </si>
  <si>
    <t>df</t>
  </si>
  <si>
    <t>p value</t>
  </si>
  <si>
    <t>Confidence Interval</t>
  </si>
  <si>
    <t>How confident you are about the population mean, by using sample mean?</t>
  </si>
  <si>
    <t xml:space="preserve">alpha </t>
  </si>
  <si>
    <t>95% confidence</t>
  </si>
  <si>
    <t>t(df, 1-alpha/2)</t>
  </si>
  <si>
    <t>t(9,1-0.05/2)</t>
  </si>
  <si>
    <t>t(9,0.975)</t>
  </si>
  <si>
    <t>Inverse t-distribution</t>
  </si>
  <si>
    <t>95% CI</t>
  </si>
  <si>
    <t>xbar pm- t(9,0.975)*SE_x</t>
  </si>
  <si>
    <t>min</t>
  </si>
  <si>
    <t>max</t>
  </si>
  <si>
    <t>Data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</si>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</sst>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right" wrapText="1" readingOrder="1"/>
    </xf>
    <xf numFmtId="0" fontId="2" fillId="0" borderId="2" xfId="0" applyFont="1" applyBorder="1" applyAlignment="1">
      <alignment horizontal="right" wrapText="1" readingOrder="1"/>
    </xf>
    <xf numFmtId="0" fontId="2" fillId="0" borderId="3" xfId="0" applyFont="1" applyBorder="1" applyAlignment="1">
      <alignment horizontal="right" wrapText="1" readingOrder="1"/>
    </xf>
    <xf numFmtId="0" fontId="1" fillId="0" borderId="0" xfId="0" applyFont="1"/>
    <xf numFmtId="0" fontId="0" fillId="0" borderId="0" xfId="0" applyFont="1" applyAlignment="1">
      <alignment wrapText="1"/>
    </xf>
    <xf numFmtId="2" fontId="1" fillId="0" borderId="0" xfId="0" applyNumberFormat="1" applyFont="1"/>
    <xf numFmtId="170" fontId="1" fillId="0" borderId="0" xfId="0" applyNumberFormat="1" applyFont="1"/>
    <xf numFmtId="1" fontId="1" fillId="0" borderId="0" xfId="0" applyNumberFormat="1" applyFo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3D52-5719-4BAD-89FE-E3B9510661EF}">
  <dimension ref="A1:M33"/>
  <sheetViews>
    <sheetView tabSelected="1" topLeftCell="A25" zoomScale="145" zoomScaleNormal="145" workbookViewId="0">
      <selection activeCell="I30" sqref="I30:M31"/>
    </sheetView>
  </sheetViews>
  <sheetFormatPr defaultRowHeight="14.6" x14ac:dyDescent="0.4"/>
  <cols>
    <col min="1" max="1" width="14.765625" style="1" customWidth="1"/>
    <col min="2" max="2" width="9.23046875" style="1"/>
  </cols>
  <sheetData>
    <row r="1" spans="1:2" x14ac:dyDescent="0.4">
      <c r="A1" s="1" t="s">
        <v>0</v>
      </c>
    </row>
    <row r="2" spans="1:2" ht="15" thickBot="1" x14ac:dyDescent="0.45">
      <c r="A2" s="1" t="s">
        <v>1</v>
      </c>
      <c r="B2" s="1" t="s">
        <v>5</v>
      </c>
    </row>
    <row r="3" spans="1:2" x14ac:dyDescent="0.4">
      <c r="B3" s="2">
        <v>2998</v>
      </c>
    </row>
    <row r="4" spans="1:2" x14ac:dyDescent="0.4">
      <c r="B4" s="3">
        <v>3740</v>
      </c>
    </row>
    <row r="5" spans="1:2" x14ac:dyDescent="0.4">
      <c r="B5" s="3">
        <v>2031</v>
      </c>
    </row>
    <row r="6" spans="1:2" x14ac:dyDescent="0.4">
      <c r="B6" s="3">
        <v>2804</v>
      </c>
    </row>
    <row r="7" spans="1:2" x14ac:dyDescent="0.4">
      <c r="B7" s="3">
        <v>2454</v>
      </c>
    </row>
    <row r="8" spans="1:2" x14ac:dyDescent="0.4">
      <c r="B8" s="3">
        <v>2780</v>
      </c>
    </row>
    <row r="9" spans="1:2" x14ac:dyDescent="0.4">
      <c r="B9" s="3">
        <v>2203</v>
      </c>
    </row>
    <row r="10" spans="1:2" x14ac:dyDescent="0.4">
      <c r="B10" s="3">
        <v>3803</v>
      </c>
    </row>
    <row r="11" spans="1:2" x14ac:dyDescent="0.4">
      <c r="B11" s="3">
        <v>3948</v>
      </c>
    </row>
    <row r="12" spans="1:2" ht="15" thickBot="1" x14ac:dyDescent="0.45">
      <c r="B12" s="4">
        <v>2144</v>
      </c>
    </row>
    <row r="14" spans="1:2" x14ac:dyDescent="0.4">
      <c r="A14" s="1" t="s">
        <v>2</v>
      </c>
      <c r="B14" s="9">
        <f>AVERAGE(B3:B12)</f>
        <v>2890.5</v>
      </c>
    </row>
    <row r="15" spans="1:2" x14ac:dyDescent="0.4">
      <c r="A15" s="1" t="s">
        <v>3</v>
      </c>
      <c r="B15" s="9">
        <f>STDEV(B3:B12)</f>
        <v>719.80340680247161</v>
      </c>
    </row>
    <row r="17" spans="1:13" x14ac:dyDescent="0.4">
      <c r="G17" s="5" t="s">
        <v>10</v>
      </c>
    </row>
    <row r="18" spans="1:13" x14ac:dyDescent="0.4">
      <c r="A18" s="1" t="s">
        <v>4</v>
      </c>
      <c r="B18" s="5">
        <v>3300</v>
      </c>
      <c r="D18" s="1" t="s">
        <v>7</v>
      </c>
      <c r="E18" s="7">
        <f>B15/SQRT(B19)</f>
        <v>227.62182330445478</v>
      </c>
      <c r="G18" s="5"/>
      <c r="H18" s="5">
        <f>_xlfn.T.DIST(E20,9,TRUE)</f>
        <v>5.2775738909824323E-2</v>
      </c>
    </row>
    <row r="19" spans="1:13" x14ac:dyDescent="0.4">
      <c r="A19" s="1" t="s">
        <v>6</v>
      </c>
      <c r="B19" s="5">
        <v>10</v>
      </c>
      <c r="D19" s="1"/>
      <c r="E19" s="1"/>
    </row>
    <row r="20" spans="1:13" x14ac:dyDescent="0.4">
      <c r="A20" s="1" t="s">
        <v>9</v>
      </c>
      <c r="B20" s="5">
        <f>B19-1</f>
        <v>9</v>
      </c>
      <c r="D20" s="1" t="s">
        <v>8</v>
      </c>
      <c r="E20" s="7">
        <f>(B14-B18)/E18</f>
        <v>-1.7990366391726627</v>
      </c>
    </row>
    <row r="22" spans="1:13" ht="15" thickBot="1" x14ac:dyDescent="0.45"/>
    <row r="23" spans="1:13" ht="15" thickBot="1" x14ac:dyDescent="0.45">
      <c r="A23" s="5" t="s">
        <v>11</v>
      </c>
      <c r="I23" s="10" t="s">
        <v>23</v>
      </c>
      <c r="J23" s="11" t="s">
        <v>24</v>
      </c>
    </row>
    <row r="24" spans="1:13" ht="15" thickBot="1" x14ac:dyDescent="0.45">
      <c r="A24" s="1" t="s">
        <v>12</v>
      </c>
      <c r="I24" s="12">
        <v>2</v>
      </c>
      <c r="J24" s="13">
        <v>2</v>
      </c>
    </row>
    <row r="25" spans="1:13" ht="15" thickBot="1" x14ac:dyDescent="0.45">
      <c r="A25" s="1" t="s">
        <v>13</v>
      </c>
      <c r="B25" s="5">
        <v>0.05</v>
      </c>
      <c r="I25" s="12">
        <v>5</v>
      </c>
      <c r="J25" s="13">
        <v>4</v>
      </c>
    </row>
    <row r="26" spans="1:13" ht="15" thickBot="1" x14ac:dyDescent="0.45">
      <c r="A26" s="5" t="s">
        <v>14</v>
      </c>
      <c r="I26" s="12">
        <v>6</v>
      </c>
      <c r="J26" s="13">
        <v>2</v>
      </c>
    </row>
    <row r="27" spans="1:13" ht="15" thickBot="1" x14ac:dyDescent="0.45">
      <c r="I27" s="12">
        <v>8</v>
      </c>
      <c r="J27" s="13">
        <v>2</v>
      </c>
    </row>
    <row r="28" spans="1:13" x14ac:dyDescent="0.4">
      <c r="A28" s="1" t="s">
        <v>15</v>
      </c>
      <c r="B28" s="1" t="s">
        <v>16</v>
      </c>
      <c r="C28" s="5" t="s">
        <v>17</v>
      </c>
    </row>
    <row r="29" spans="1:13" ht="29.6" thickBot="1" x14ac:dyDescent="0.45">
      <c r="A29" s="6" t="s">
        <v>18</v>
      </c>
      <c r="B29" s="5">
        <f>_xlfn.T.INV(0.975,9)</f>
        <v>2.2621571627982049</v>
      </c>
    </row>
    <row r="30" spans="1:13" ht="15" thickBot="1" x14ac:dyDescent="0.45">
      <c r="I30" s="10" t="s">
        <v>23</v>
      </c>
      <c r="J30" s="12">
        <v>2</v>
      </c>
      <c r="K30" s="12">
        <v>5</v>
      </c>
      <c r="L30" s="12">
        <v>6</v>
      </c>
      <c r="M30" s="12">
        <v>8</v>
      </c>
    </row>
    <row r="31" spans="1:13" ht="15" thickBot="1" x14ac:dyDescent="0.45">
      <c r="A31" s="1" t="s">
        <v>19</v>
      </c>
      <c r="B31" s="1" t="s">
        <v>20</v>
      </c>
      <c r="I31" s="11" t="s">
        <v>24</v>
      </c>
      <c r="J31" s="13">
        <v>2</v>
      </c>
      <c r="K31" s="13">
        <v>4</v>
      </c>
      <c r="L31" s="13">
        <v>2</v>
      </c>
      <c r="M31" s="13">
        <v>2</v>
      </c>
    </row>
    <row r="32" spans="1:13" x14ac:dyDescent="0.4">
      <c r="B32" s="8">
        <f>B14-B29*E18</f>
        <v>2375.5836620026403</v>
      </c>
      <c r="C32" s="8">
        <f>B14+B29*E18</f>
        <v>3405.4163379973597</v>
      </c>
    </row>
    <row r="33" spans="2:3" x14ac:dyDescent="0.4">
      <c r="B33" s="1" t="s">
        <v>21</v>
      </c>
      <c r="C3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2023-12-01T05:11:48Z</dcterms:created>
  <dcterms:modified xsi:type="dcterms:W3CDTF">2023-12-04T09:47:33Z</dcterms:modified>
</cp:coreProperties>
</file>