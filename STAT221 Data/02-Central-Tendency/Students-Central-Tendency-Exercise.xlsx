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13_ncr:1_{96ABD059-F3E9-470B-857B-2A74FC2A229E}" xr6:coauthVersionLast="47" xr6:coauthVersionMax="47" xr10:uidLastSave="{00000000-0000-0000-0000-000000000000}"/>
  <bookViews>
    <workbookView xWindow="-103" yWindow="-103" windowWidth="22149" windowHeight="13200" activeTab="1" xr2:uid="{E4296B19-332F-42D5-98D0-89F2083DBDF8}"/>
  </bookViews>
  <sheets>
    <sheet name="Classwork Data" sheetId="1" r:id="rId1"/>
    <sheet name="Student exerc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 s="1"/>
  <c r="I4" i="2"/>
  <c r="I5" i="2"/>
  <c r="I6" i="2"/>
  <c r="I7" i="2"/>
  <c r="I8" i="2"/>
  <c r="H2" i="2"/>
  <c r="H3" i="2"/>
  <c r="H4" i="2"/>
  <c r="H5" i="2"/>
  <c r="H6" i="2"/>
  <c r="H7" i="2"/>
  <c r="H8" i="2"/>
  <c r="K20" i="1"/>
</calcChain>
</file>

<file path=xl/sharedStrings.xml><?xml version="1.0" encoding="utf-8"?>
<sst xmlns="http://schemas.openxmlformats.org/spreadsheetml/2006/main" count="103" uniqueCount="81">
  <si>
    <t>No of books read last one year</t>
  </si>
  <si>
    <t>Frequency</t>
  </si>
  <si>
    <t>Cumulative Frequency</t>
  </si>
  <si>
    <t>Percentage</t>
  </si>
  <si>
    <t>No of brothers/sisters</t>
  </si>
  <si>
    <t>Percent</t>
  </si>
  <si>
    <t>Siblings-x-frequency</t>
  </si>
  <si>
    <t>None</t>
  </si>
  <si>
    <t>1-2 books</t>
  </si>
  <si>
    <t>3-5 books</t>
  </si>
  <si>
    <t>6-10 books</t>
  </si>
  <si>
    <t>11 or more books</t>
  </si>
  <si>
    <t>Total</t>
  </si>
  <si>
    <t>Mode</t>
  </si>
  <si>
    <t>?</t>
  </si>
  <si>
    <t>Median</t>
  </si>
  <si>
    <t>Mean</t>
  </si>
  <si>
    <t>Height Interval (cm)</t>
  </si>
  <si>
    <t>Cumulative frequency</t>
  </si>
  <si>
    <t>Percentile</t>
  </si>
  <si>
    <t>Height-middle</t>
  </si>
  <si>
    <t>Height times frequency</t>
  </si>
  <si>
    <t>[117-122)</t>
  </si>
  <si>
    <t>[122-127)</t>
  </si>
  <si>
    <t>[127-133)</t>
  </si>
  <si>
    <t>[133-138)</t>
  </si>
  <si>
    <t>[138-143)</t>
  </si>
  <si>
    <t>[143-148)</t>
  </si>
  <si>
    <t>[148-153)</t>
  </si>
  <si>
    <t>[153-158)</t>
  </si>
  <si>
    <t>[158-163)</t>
  </si>
  <si>
    <t>[163-168)</t>
  </si>
  <si>
    <t>[168-173)</t>
  </si>
  <si>
    <t>[173-178)</t>
  </si>
  <si>
    <t>[178-183)</t>
  </si>
  <si>
    <t>[183-188)</t>
  </si>
  <si>
    <t>[188-194)</t>
  </si>
  <si>
    <t>[194-199)</t>
  </si>
  <si>
    <t>[199-204)</t>
  </si>
  <si>
    <t>[204-209)</t>
  </si>
  <si>
    <t>[209-214)</t>
  </si>
  <si>
    <t>[214-219)</t>
  </si>
  <si>
    <t>[219-224)</t>
  </si>
  <si>
    <t>[224-229)</t>
  </si>
  <si>
    <t>[229-234)</t>
  </si>
  <si>
    <t>[234-239)</t>
  </si>
  <si>
    <t>SUM</t>
  </si>
  <si>
    <t>Median Height</t>
  </si>
  <si>
    <t>MEAN</t>
  </si>
  <si>
    <t>Nominal Variable</t>
  </si>
  <si>
    <t>Religious affiliation</t>
  </si>
  <si>
    <t>Hindu</t>
  </si>
  <si>
    <t>Muslim</t>
  </si>
  <si>
    <t>Sikhs</t>
  </si>
  <si>
    <t>Jain</t>
  </si>
  <si>
    <t>Christian</t>
  </si>
  <si>
    <t>Atheist</t>
  </si>
  <si>
    <t>Others</t>
  </si>
  <si>
    <t>Ordinal Variables</t>
  </si>
  <si>
    <t>How much do you like mess food?</t>
  </si>
  <si>
    <t>Not all</t>
  </si>
  <si>
    <t>Somewhat</t>
  </si>
  <si>
    <t>Very much</t>
  </si>
  <si>
    <t>Mother education level</t>
  </si>
  <si>
    <t>Mothers education level (attended)</t>
  </si>
  <si>
    <t>percentage</t>
  </si>
  <si>
    <t>Post graduate (Masters or PhD)</t>
  </si>
  <si>
    <t>No schooling</t>
  </si>
  <si>
    <t>Graduate</t>
  </si>
  <si>
    <t>Primary (1-5)</t>
  </si>
  <si>
    <t>Higher secondary</t>
  </si>
  <si>
    <t>Upper Primary(6-8)</t>
  </si>
  <si>
    <t>Secondary (9-10)</t>
  </si>
  <si>
    <t>Higher secondary/Diploma/Vocational</t>
  </si>
  <si>
    <t>College</t>
  </si>
  <si>
    <t>Post Graduate (PG and above)</t>
  </si>
  <si>
    <r>
      <rPr>
        <sz val="9"/>
        <color rgb="FFFFFFFF"/>
        <rFont val="Trebuchet MS"/>
        <family val="2"/>
      </rPr>
      <t>RIDER #</t>
    </r>
  </si>
  <si>
    <r>
      <rPr>
        <sz val="9"/>
        <color rgb="FFFFFFFF"/>
        <rFont val="Trebuchet MS"/>
        <family val="2"/>
      </rPr>
      <t># BUS TRIPS</t>
    </r>
  </si>
  <si>
    <t>N=15</t>
  </si>
  <si>
    <t>Column1</t>
  </si>
  <si>
    <t>Cumulative percent/Percentile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</si>
</sst>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9"/>
      <name val="Trebuchet MS"/>
      <family val="2"/>
    </font>
    <font>
      <sz val="9"/>
      <color rgb="FFFFFFFF"/>
      <name val="Trebuchet MS"/>
      <family val="2"/>
    </font>
    <font>
      <sz val="9"/>
      <color rgb="FF231F20"/>
      <name val="Trebuchet MS"/>
      <family val="2"/>
    </font>
    <font>
      <b/>
      <sz val="9"/>
      <color rgb="FF231F2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2AB67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horizontal="left" vertical="top" wrapText="1" indent="3"/>
    </xf>
    <xf numFmtId="0" fontId="4" fillId="2" borderId="3" xfId="0" applyFont="1" applyFill="1" applyBorder="1" applyAlignment="1">
      <alignment horizontal="left" vertical="top" wrapText="1" indent="2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1" fontId="1" fillId="0" borderId="0" xfId="0" applyNumberFormat="1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2399-D7E3-4009-AE37-C44D41411E51}" name="Table1" displayName="Table1" ref="A1:D10" totalsRowShown="0" headerRowDxfId="11">
  <autoFilter ref="A1:D10" xr:uid="{C5C12399-D7E3-4009-AE37-C44D41411E51}"/>
  <tableColumns count="4">
    <tableColumn id="1" xr3:uid="{91476CE0-806B-4357-BFA8-C19015FE6D8A}" name="No of books read last one year"/>
    <tableColumn id="2" xr3:uid="{08893436-AC22-4EDD-9782-065DF3688C30}" name="Frequency"/>
    <tableColumn id="3" xr3:uid="{503F0892-8097-4646-A39A-31053B34CEED}" name="Cumulative Frequency"/>
    <tableColumn id="4" xr3:uid="{155AA784-B545-4288-831D-0A0C519CB099}" name="Percentil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8988CB-122F-4938-B7C9-0FD6EA4BE330}" name="Table2" displayName="Table2" ref="F1:J8" totalsRowShown="0" headerRowDxfId="10">
  <tableColumns count="5">
    <tableColumn id="1" xr3:uid="{13383C06-440D-4830-B6F0-F79A4D85F06F}" name="No of brothers/sisters"/>
    <tableColumn id="2" xr3:uid="{AA5BACEC-8697-40DF-83D7-06DC8E1BA93D}" name="Frequency"/>
    <tableColumn id="3" xr3:uid="{7F4A7895-A6D2-4F6F-9751-8183C909CA6E}" name="Percent" dataDxfId="1">
      <calculatedColumnFormula>Table2[[#This Row],[Frequency]]/50*100</calculatedColumnFormula>
    </tableColumn>
    <tableColumn id="4" xr3:uid="{356BE113-FBB0-4869-82AF-122AA2B1556A}" name="Cumulative percent/Percentile" dataDxfId="0">
      <calculatedColumnFormula>Table2[[#This Row],[Percent]]</calculatedColumnFormula>
    </tableColumn>
    <tableColumn id="5" xr3:uid="{CB76360F-591B-496C-AF09-EA6D502ACC40}" name="Siblings-x-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32914D-82EB-47B1-8BCF-AB3D6C988197}" name="Table3" displayName="Table3" ref="A17:G46" totalsRowShown="0" dataDxfId="9">
  <autoFilter ref="A17:G46" xr:uid="{9632914D-82EB-47B1-8BCF-AB3D6C988197}"/>
  <tableColumns count="7">
    <tableColumn id="1" xr3:uid="{CE5DEACE-550C-4144-927A-C47B026AB87D}" name="Height Interval (cm)" dataDxfId="8"/>
    <tableColumn id="2" xr3:uid="{20F815D3-8611-4C08-9B3C-5D5CAFF6228B}" name="Frequency" dataDxfId="7"/>
    <tableColumn id="3" xr3:uid="{1E5700ED-3BB9-42EC-8D00-777714F538B2}" name="Cumulative frequency" dataDxfId="6"/>
    <tableColumn id="4" xr3:uid="{6804B2FD-5CE6-4BE0-9257-F55F278F1908}" name="Percentile" dataDxfId="5"/>
    <tableColumn id="5" xr3:uid="{6D28522C-FC89-401A-AF1E-8E839E6C1A9A}" name="Column1" dataDxfId="4"/>
    <tableColumn id="6" xr3:uid="{EBB3ECDD-9E5B-406D-A571-034EAB4C58FD}" name="Height-middle" dataDxfId="3"/>
    <tableColumn id="7" xr3:uid="{DB6C219D-7D05-4623-A5F5-702E8FB7223A}" name="Height times frequency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CE90-2D6F-4E1F-B92A-1C38B367832D}">
  <dimension ref="A4:K31"/>
  <sheetViews>
    <sheetView topLeftCell="A4" workbookViewId="0">
      <selection activeCell="C7" sqref="C7:C14"/>
    </sheetView>
  </sheetViews>
  <sheetFormatPr defaultRowHeight="14.6" x14ac:dyDescent="0.4"/>
  <sheetData>
    <row r="4" spans="1:11" ht="24" x14ac:dyDescent="0.4">
      <c r="A4" s="3" t="s">
        <v>49</v>
      </c>
      <c r="B4" s="3"/>
      <c r="C4" s="3"/>
      <c r="D4" s="3"/>
      <c r="E4" s="3"/>
      <c r="F4" s="3"/>
      <c r="G4" s="3"/>
      <c r="H4" s="3"/>
      <c r="I4" s="3"/>
      <c r="J4" s="8" t="s">
        <v>76</v>
      </c>
      <c r="K4" s="9" t="s">
        <v>77</v>
      </c>
    </row>
    <row r="5" spans="1:11" x14ac:dyDescent="0.4">
      <c r="A5" s="3"/>
      <c r="B5" s="3"/>
      <c r="C5" s="3"/>
      <c r="D5" s="3"/>
      <c r="E5" s="3"/>
      <c r="F5" s="3"/>
      <c r="G5" s="3"/>
      <c r="H5" s="3"/>
      <c r="I5" s="3"/>
      <c r="J5" s="10">
        <v>1</v>
      </c>
      <c r="K5" s="11">
        <v>5</v>
      </c>
    </row>
    <row r="6" spans="1:11" x14ac:dyDescent="0.4">
      <c r="A6" s="4" t="s">
        <v>50</v>
      </c>
      <c r="B6" s="4" t="s">
        <v>1</v>
      </c>
      <c r="C6" s="4" t="s">
        <v>3</v>
      </c>
      <c r="D6" s="3"/>
      <c r="E6" s="3"/>
      <c r="F6" s="3"/>
      <c r="G6" s="3"/>
      <c r="H6" s="3"/>
      <c r="I6" s="3"/>
      <c r="J6" s="10">
        <v>2</v>
      </c>
      <c r="K6" s="11">
        <v>3</v>
      </c>
    </row>
    <row r="7" spans="1:11" x14ac:dyDescent="0.4">
      <c r="A7" s="4" t="s">
        <v>51</v>
      </c>
      <c r="B7" s="4">
        <v>86</v>
      </c>
      <c r="C7" s="5">
        <v>57.333333333333336</v>
      </c>
      <c r="D7" s="3"/>
      <c r="E7" s="3"/>
      <c r="F7" s="3"/>
      <c r="G7" s="3"/>
      <c r="H7" s="3"/>
      <c r="I7" s="3"/>
      <c r="J7" s="10">
        <v>3</v>
      </c>
      <c r="K7" s="11">
        <v>10</v>
      </c>
    </row>
    <row r="8" spans="1:11" x14ac:dyDescent="0.4">
      <c r="A8" s="4" t="s">
        <v>52</v>
      </c>
      <c r="B8" s="4">
        <v>22</v>
      </c>
      <c r="C8" s="5">
        <v>14.666666666666666</v>
      </c>
      <c r="D8" s="3"/>
      <c r="E8" s="3"/>
      <c r="F8" s="3"/>
      <c r="G8" s="3"/>
      <c r="H8" s="3"/>
      <c r="I8" s="3"/>
      <c r="J8" s="10">
        <v>4</v>
      </c>
      <c r="K8" s="11">
        <v>5</v>
      </c>
    </row>
    <row r="9" spans="1:11" x14ac:dyDescent="0.4">
      <c r="A9" s="4" t="s">
        <v>53</v>
      </c>
      <c r="B9" s="4">
        <v>12</v>
      </c>
      <c r="C9" s="5">
        <v>8</v>
      </c>
      <c r="D9" s="3"/>
      <c r="E9" s="3"/>
      <c r="F9" s="3"/>
      <c r="G9" s="3"/>
      <c r="H9" s="3"/>
      <c r="I9" s="3"/>
      <c r="J9" s="10">
        <v>5</v>
      </c>
      <c r="K9" s="11">
        <v>8</v>
      </c>
    </row>
    <row r="10" spans="1:11" x14ac:dyDescent="0.4">
      <c r="A10" s="4" t="s">
        <v>54</v>
      </c>
      <c r="B10" s="4">
        <v>11</v>
      </c>
      <c r="C10" s="5">
        <v>7.333333333333333</v>
      </c>
      <c r="D10" s="3"/>
      <c r="E10" s="3"/>
      <c r="F10" s="3"/>
      <c r="G10" s="3"/>
      <c r="H10" s="3"/>
      <c r="I10" s="3"/>
      <c r="J10" s="10">
        <v>6</v>
      </c>
      <c r="K10" s="11">
        <v>6</v>
      </c>
    </row>
    <row r="11" spans="1:11" x14ac:dyDescent="0.4">
      <c r="A11" s="4" t="s">
        <v>55</v>
      </c>
      <c r="B11" s="4">
        <v>6</v>
      </c>
      <c r="C11" s="5">
        <v>4</v>
      </c>
      <c r="D11" s="3"/>
      <c r="E11" s="3"/>
      <c r="F11" s="3"/>
      <c r="G11" s="3"/>
      <c r="H11" s="3"/>
      <c r="I11" s="3"/>
      <c r="J11" s="10">
        <v>7</v>
      </c>
      <c r="K11" s="11">
        <v>5</v>
      </c>
    </row>
    <row r="12" spans="1:11" x14ac:dyDescent="0.4">
      <c r="A12" s="4" t="s">
        <v>56</v>
      </c>
      <c r="B12" s="4">
        <v>10</v>
      </c>
      <c r="C12" s="5">
        <v>6.666666666666667</v>
      </c>
      <c r="D12" s="3"/>
      <c r="E12" s="3"/>
      <c r="F12" s="3"/>
      <c r="G12" s="3"/>
      <c r="H12" s="3"/>
      <c r="I12" s="3"/>
      <c r="J12" s="10">
        <v>8</v>
      </c>
      <c r="K12" s="11">
        <v>4</v>
      </c>
    </row>
    <row r="13" spans="1:11" x14ac:dyDescent="0.4">
      <c r="A13" s="4" t="s">
        <v>57</v>
      </c>
      <c r="B13" s="4">
        <v>3</v>
      </c>
      <c r="C13" s="5">
        <v>2</v>
      </c>
      <c r="D13" s="3"/>
      <c r="E13" s="3"/>
      <c r="F13" s="3"/>
      <c r="G13" s="3"/>
      <c r="H13" s="3"/>
      <c r="I13" s="3"/>
      <c r="J13" s="10">
        <v>9</v>
      </c>
      <c r="K13" s="11">
        <v>0</v>
      </c>
    </row>
    <row r="14" spans="1:11" x14ac:dyDescent="0.4">
      <c r="A14" s="4" t="s">
        <v>12</v>
      </c>
      <c r="B14" s="4">
        <v>150</v>
      </c>
      <c r="C14" s="5">
        <v>100</v>
      </c>
      <c r="D14" s="3"/>
      <c r="E14" s="3"/>
      <c r="F14" s="3"/>
      <c r="G14" s="3"/>
      <c r="H14" s="3"/>
      <c r="I14" s="3"/>
      <c r="J14" s="10">
        <v>10</v>
      </c>
      <c r="K14" s="11">
        <v>2</v>
      </c>
    </row>
    <row r="15" spans="1:11" x14ac:dyDescent="0.4">
      <c r="A15" s="3"/>
      <c r="B15" s="3"/>
      <c r="C15" s="3"/>
      <c r="D15" s="3"/>
      <c r="E15" s="3"/>
      <c r="F15" s="3"/>
      <c r="G15" s="3"/>
      <c r="H15" s="3"/>
      <c r="I15" s="3"/>
      <c r="J15" s="12">
        <v>11</v>
      </c>
      <c r="K15" s="13">
        <v>14</v>
      </c>
    </row>
    <row r="16" spans="1:11" x14ac:dyDescent="0.4">
      <c r="A16" s="3" t="s">
        <v>58</v>
      </c>
      <c r="B16" s="3"/>
      <c r="C16" s="3"/>
      <c r="D16" s="3"/>
      <c r="E16" s="3"/>
      <c r="F16" s="3"/>
      <c r="G16" s="3"/>
      <c r="H16" s="3"/>
      <c r="I16" s="3"/>
      <c r="J16" s="10">
        <v>12</v>
      </c>
      <c r="K16" s="11">
        <v>5</v>
      </c>
    </row>
    <row r="17" spans="1:11" x14ac:dyDescent="0.4">
      <c r="A17" s="6" t="s">
        <v>59</v>
      </c>
      <c r="B17" s="6" t="s">
        <v>1</v>
      </c>
      <c r="C17" s="3"/>
      <c r="D17" s="3"/>
      <c r="E17" s="3"/>
      <c r="F17" s="3"/>
      <c r="G17" s="3"/>
      <c r="H17" s="3"/>
      <c r="I17" s="3"/>
      <c r="J17" s="10">
        <v>13</v>
      </c>
      <c r="K17" s="11">
        <v>7</v>
      </c>
    </row>
    <row r="18" spans="1:11" x14ac:dyDescent="0.4">
      <c r="A18" s="3" t="s">
        <v>60</v>
      </c>
      <c r="B18" s="3">
        <v>15</v>
      </c>
      <c r="C18" s="3"/>
      <c r="D18" s="3"/>
      <c r="E18" s="3"/>
      <c r="F18" s="3"/>
      <c r="G18" s="3"/>
      <c r="H18" s="3"/>
      <c r="I18" s="3"/>
      <c r="J18" s="10">
        <v>14</v>
      </c>
      <c r="K18" s="11">
        <v>4</v>
      </c>
    </row>
    <row r="19" spans="1:11" x14ac:dyDescent="0.4">
      <c r="A19" s="3" t="s">
        <v>61</v>
      </c>
      <c r="B19" s="3">
        <v>23</v>
      </c>
      <c r="C19" s="3"/>
      <c r="D19" s="3"/>
      <c r="E19" s="3"/>
      <c r="F19" s="3"/>
      <c r="G19" s="3"/>
      <c r="H19" s="3"/>
      <c r="I19" s="3"/>
      <c r="J19" s="10">
        <v>15</v>
      </c>
      <c r="K19" s="11">
        <v>3</v>
      </c>
    </row>
    <row r="20" spans="1:11" x14ac:dyDescent="0.4">
      <c r="A20" s="3" t="s">
        <v>62</v>
      </c>
      <c r="B20" s="3">
        <v>12</v>
      </c>
      <c r="C20" s="3"/>
      <c r="D20" s="3"/>
      <c r="E20" s="3"/>
      <c r="F20" s="3"/>
      <c r="G20" s="3"/>
      <c r="H20" s="3"/>
      <c r="I20" s="3"/>
      <c r="J20" t="s">
        <v>78</v>
      </c>
      <c r="K20" s="14">
        <f>SUM(K5:K19)</f>
        <v>81</v>
      </c>
    </row>
    <row r="21" spans="1:11" x14ac:dyDescent="0.4">
      <c r="A21" s="3" t="s">
        <v>12</v>
      </c>
      <c r="B21" s="3">
        <v>50</v>
      </c>
      <c r="C21" s="3"/>
      <c r="D21" s="3"/>
      <c r="E21" s="3"/>
      <c r="F21" s="3"/>
      <c r="G21" s="3"/>
      <c r="H21" s="3"/>
      <c r="I21" s="3"/>
      <c r="J21" s="3"/>
    </row>
    <row r="22" spans="1:11" x14ac:dyDescent="0.4">
      <c r="A22" s="3"/>
      <c r="B22" s="3"/>
      <c r="C22" s="3"/>
      <c r="D22" s="3"/>
      <c r="E22" s="3"/>
      <c r="F22" s="7"/>
      <c r="G22" s="3"/>
      <c r="H22" s="3"/>
      <c r="I22" s="3"/>
      <c r="J22" s="3"/>
    </row>
    <row r="23" spans="1:11" x14ac:dyDescent="0.4">
      <c r="A23" s="3" t="s">
        <v>63</v>
      </c>
      <c r="B23" s="3" t="s">
        <v>1</v>
      </c>
      <c r="C23" s="3"/>
      <c r="D23" s="3"/>
      <c r="E23" s="7" t="s">
        <v>64</v>
      </c>
      <c r="F23" s="7" t="s">
        <v>1</v>
      </c>
      <c r="G23" s="3" t="s">
        <v>2</v>
      </c>
      <c r="H23" s="3" t="s">
        <v>65</v>
      </c>
      <c r="I23" s="3"/>
      <c r="J23" s="3"/>
    </row>
    <row r="24" spans="1:11" x14ac:dyDescent="0.4">
      <c r="A24" s="3" t="s">
        <v>66</v>
      </c>
      <c r="B24" s="3">
        <v>20</v>
      </c>
      <c r="C24" s="3"/>
      <c r="D24" s="3"/>
      <c r="E24" s="4" t="s">
        <v>67</v>
      </c>
      <c r="F24" s="4">
        <v>4</v>
      </c>
      <c r="G24" s="3">
        <v>4</v>
      </c>
      <c r="H24" s="3"/>
      <c r="I24" s="3"/>
      <c r="J24" s="3"/>
    </row>
    <row r="25" spans="1:11" x14ac:dyDescent="0.4">
      <c r="A25" s="3" t="s">
        <v>68</v>
      </c>
      <c r="B25" s="3">
        <v>22</v>
      </c>
      <c r="C25" s="3"/>
      <c r="D25" s="3"/>
      <c r="E25" s="4" t="s">
        <v>69</v>
      </c>
      <c r="F25" s="4">
        <v>12</v>
      </c>
      <c r="G25" s="3">
        <v>16</v>
      </c>
      <c r="H25" s="3"/>
      <c r="I25" s="3"/>
      <c r="J25" s="3"/>
    </row>
    <row r="26" spans="1:11" x14ac:dyDescent="0.4">
      <c r="A26" s="3" t="s">
        <v>70</v>
      </c>
      <c r="B26" s="3">
        <v>3</v>
      </c>
      <c r="C26" s="3"/>
      <c r="D26" s="3"/>
      <c r="E26" s="4" t="s">
        <v>71</v>
      </c>
      <c r="F26" s="4">
        <v>15</v>
      </c>
      <c r="G26" s="3">
        <v>31</v>
      </c>
      <c r="H26" s="3"/>
      <c r="I26" s="3"/>
      <c r="J26" s="3"/>
    </row>
    <row r="27" spans="1:11" x14ac:dyDescent="0.4">
      <c r="A27" s="3" t="s">
        <v>67</v>
      </c>
      <c r="B27" s="3"/>
      <c r="C27" s="3"/>
      <c r="D27" s="3"/>
      <c r="E27" s="4" t="s">
        <v>72</v>
      </c>
      <c r="F27" s="4">
        <v>26</v>
      </c>
      <c r="G27" s="3">
        <v>57</v>
      </c>
      <c r="H27" s="3"/>
      <c r="I27" s="3"/>
      <c r="J27" s="3"/>
    </row>
    <row r="28" spans="1:11" x14ac:dyDescent="0.4">
      <c r="A28" s="3"/>
      <c r="B28" s="3"/>
      <c r="C28" s="3"/>
      <c r="D28" s="3"/>
      <c r="E28" s="4" t="s">
        <v>73</v>
      </c>
      <c r="F28" s="4">
        <v>20</v>
      </c>
      <c r="G28" s="3">
        <v>77</v>
      </c>
      <c r="H28" s="3"/>
      <c r="I28" s="3"/>
      <c r="J28" s="3"/>
    </row>
    <row r="29" spans="1:11" x14ac:dyDescent="0.4">
      <c r="A29" s="3"/>
      <c r="B29" s="3"/>
      <c r="C29" s="3"/>
      <c r="D29" s="3"/>
      <c r="E29" s="4" t="s">
        <v>74</v>
      </c>
      <c r="F29" s="4">
        <v>14</v>
      </c>
      <c r="G29" s="3">
        <v>91</v>
      </c>
      <c r="H29" s="3"/>
      <c r="I29" s="3"/>
      <c r="J29" s="3"/>
    </row>
    <row r="30" spans="1:11" x14ac:dyDescent="0.4">
      <c r="A30" s="3"/>
      <c r="B30" s="3"/>
      <c r="C30" s="3"/>
      <c r="D30" s="3"/>
      <c r="E30" s="4" t="s">
        <v>75</v>
      </c>
      <c r="F30" s="4">
        <v>9</v>
      </c>
      <c r="G30" s="3">
        <v>100</v>
      </c>
      <c r="H30" s="3"/>
      <c r="I30" s="3"/>
      <c r="J30" s="3"/>
    </row>
    <row r="31" spans="1:11" x14ac:dyDescent="0.4">
      <c r="A31" s="3"/>
      <c r="B31" s="3"/>
      <c r="C31" s="3"/>
      <c r="D31" s="3"/>
      <c r="E31" s="7" t="s">
        <v>12</v>
      </c>
      <c r="F31" s="7">
        <v>100</v>
      </c>
      <c r="G31" s="3"/>
      <c r="H31" s="3"/>
      <c r="I31" s="3"/>
      <c r="J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EC2A-4567-42C5-B505-8719AB438CB7}">
  <dimension ref="A1:J46"/>
  <sheetViews>
    <sheetView tabSelected="1" topLeftCell="C1" zoomScale="134" zoomScaleNormal="134" workbookViewId="0">
      <selection activeCell="F1" sqref="F1"/>
    </sheetView>
  </sheetViews>
  <sheetFormatPr defaultRowHeight="14.6" x14ac:dyDescent="0.4"/>
  <cols>
    <col min="1" max="1" width="27.69140625" customWidth="1"/>
    <col min="2" max="2" width="12.3046875" customWidth="1"/>
    <col min="3" max="3" width="21.07421875" customWidth="1"/>
    <col min="4" max="4" width="11.84375" customWidth="1"/>
    <col min="5" max="5" width="10.07421875" customWidth="1"/>
    <col min="6" max="6" width="20.69140625" customWidth="1"/>
    <col min="7" max="7" width="21.84375" customWidth="1"/>
    <col min="9" max="9" width="18.84375" customWidth="1"/>
    <col min="10" max="10" width="19.23046875" customWidth="1"/>
  </cols>
  <sheetData>
    <row r="1" spans="1:10" ht="40.299999999999997" customHeight="1" x14ac:dyDescent="0.4">
      <c r="A1" s="1" t="s">
        <v>0</v>
      </c>
      <c r="B1" s="1" t="s">
        <v>1</v>
      </c>
      <c r="C1" s="1" t="s">
        <v>2</v>
      </c>
      <c r="D1" s="1" t="s">
        <v>19</v>
      </c>
      <c r="E1" s="1"/>
      <c r="F1" s="1" t="s">
        <v>4</v>
      </c>
      <c r="G1" s="1" t="s">
        <v>1</v>
      </c>
      <c r="H1" s="1" t="s">
        <v>5</v>
      </c>
      <c r="I1" s="1" t="s">
        <v>80</v>
      </c>
      <c r="J1" s="1" t="s">
        <v>6</v>
      </c>
    </row>
    <row r="2" spans="1:10" x14ac:dyDescent="0.4">
      <c r="A2" t="s">
        <v>7</v>
      </c>
      <c r="B2">
        <v>7</v>
      </c>
      <c r="F2">
        <v>0</v>
      </c>
      <c r="G2">
        <v>4</v>
      </c>
      <c r="H2">
        <f>Table2[[#This Row],[Frequency]]/50*100</f>
        <v>8</v>
      </c>
      <c r="I2">
        <f>Table2[[#This Row],[Percent]]</f>
        <v>8</v>
      </c>
    </row>
    <row r="3" spans="1:10" x14ac:dyDescent="0.4">
      <c r="A3" t="s">
        <v>8</v>
      </c>
      <c r="B3">
        <v>10</v>
      </c>
      <c r="F3">
        <v>1</v>
      </c>
      <c r="G3">
        <v>15</v>
      </c>
      <c r="H3">
        <f>Table2[[#This Row],[Frequency]]/50*100</f>
        <v>30</v>
      </c>
      <c r="I3">
        <f>Table2[[#This Row],[Percent]]+I2</f>
        <v>38</v>
      </c>
    </row>
    <row r="4" spans="1:10" x14ac:dyDescent="0.4">
      <c r="A4" t="s">
        <v>9</v>
      </c>
      <c r="B4">
        <v>11</v>
      </c>
      <c r="F4" s="2">
        <v>2</v>
      </c>
      <c r="G4">
        <v>11</v>
      </c>
      <c r="H4">
        <f>Table2[[#This Row],[Frequency]]/50*100</f>
        <v>22</v>
      </c>
      <c r="I4">
        <f>Table2[[#This Row],[Percent]]</f>
        <v>22</v>
      </c>
    </row>
    <row r="5" spans="1:10" x14ac:dyDescent="0.4">
      <c r="A5" t="s">
        <v>10</v>
      </c>
      <c r="B5">
        <v>8</v>
      </c>
      <c r="F5">
        <v>3</v>
      </c>
      <c r="G5">
        <v>8</v>
      </c>
      <c r="H5">
        <f>Table2[[#This Row],[Frequency]]/50*100</f>
        <v>16</v>
      </c>
      <c r="I5">
        <f>Table2[[#This Row],[Percent]]</f>
        <v>16</v>
      </c>
    </row>
    <row r="6" spans="1:10" x14ac:dyDescent="0.4">
      <c r="A6" t="s">
        <v>11</v>
      </c>
      <c r="B6">
        <v>8</v>
      </c>
      <c r="F6">
        <v>4</v>
      </c>
      <c r="G6">
        <v>6</v>
      </c>
      <c r="H6">
        <f>Table2[[#This Row],[Frequency]]/50*100</f>
        <v>12</v>
      </c>
      <c r="I6">
        <f>Table2[[#This Row],[Percent]]</f>
        <v>12</v>
      </c>
    </row>
    <row r="7" spans="1:10" x14ac:dyDescent="0.4">
      <c r="A7" t="s">
        <v>12</v>
      </c>
      <c r="B7">
        <v>44</v>
      </c>
      <c r="F7">
        <v>5</v>
      </c>
      <c r="G7">
        <v>6</v>
      </c>
      <c r="H7">
        <f>Table2[[#This Row],[Frequency]]/50*100</f>
        <v>12</v>
      </c>
      <c r="I7">
        <f>Table2[[#This Row],[Percent]]</f>
        <v>12</v>
      </c>
    </row>
    <row r="8" spans="1:10" x14ac:dyDescent="0.4">
      <c r="F8" t="s">
        <v>12</v>
      </c>
      <c r="G8">
        <v>50</v>
      </c>
      <c r="H8">
        <f>Table2[[#This Row],[Frequency]]/50*100</f>
        <v>100</v>
      </c>
      <c r="I8">
        <f>Table2[[#This Row],[Percent]]</f>
        <v>100</v>
      </c>
    </row>
    <row r="9" spans="1:10" x14ac:dyDescent="0.4">
      <c r="A9" s="2" t="s">
        <v>13</v>
      </c>
      <c r="B9" s="2" t="s">
        <v>14</v>
      </c>
    </row>
    <row r="10" spans="1:10" x14ac:dyDescent="0.4">
      <c r="A10" s="2" t="s">
        <v>15</v>
      </c>
      <c r="B10" s="2" t="s">
        <v>14</v>
      </c>
      <c r="G10" s="2" t="s">
        <v>15</v>
      </c>
    </row>
    <row r="11" spans="1:10" x14ac:dyDescent="0.4">
      <c r="G11" s="2" t="s">
        <v>13</v>
      </c>
    </row>
    <row r="12" spans="1:10" x14ac:dyDescent="0.4">
      <c r="G12" s="2" t="s">
        <v>16</v>
      </c>
    </row>
    <row r="17" spans="1:7" x14ac:dyDescent="0.4">
      <c r="A17" t="s">
        <v>17</v>
      </c>
      <c r="B17" t="s">
        <v>1</v>
      </c>
      <c r="C17" t="s">
        <v>18</v>
      </c>
      <c r="D17" t="s">
        <v>19</v>
      </c>
      <c r="E17" t="s">
        <v>79</v>
      </c>
      <c r="F17" t="s">
        <v>20</v>
      </c>
      <c r="G17" t="s">
        <v>21</v>
      </c>
    </row>
    <row r="18" spans="1:7" x14ac:dyDescent="0.4">
      <c r="A18" t="s">
        <v>22</v>
      </c>
      <c r="B18">
        <v>1</v>
      </c>
    </row>
    <row r="19" spans="1:7" x14ac:dyDescent="0.4">
      <c r="A19" t="s">
        <v>23</v>
      </c>
      <c r="B19">
        <v>3</v>
      </c>
    </row>
    <row r="20" spans="1:7" x14ac:dyDescent="0.4">
      <c r="A20" t="s">
        <v>24</v>
      </c>
      <c r="B20">
        <v>9</v>
      </c>
    </row>
    <row r="21" spans="1:7" x14ac:dyDescent="0.4">
      <c r="A21" t="s">
        <v>25</v>
      </c>
      <c r="B21">
        <v>25</v>
      </c>
    </row>
    <row r="22" spans="1:7" x14ac:dyDescent="0.4">
      <c r="A22" t="s">
        <v>26</v>
      </c>
      <c r="B22">
        <v>60</v>
      </c>
    </row>
    <row r="23" spans="1:7" x14ac:dyDescent="0.4">
      <c r="A23" t="s">
        <v>27</v>
      </c>
      <c r="B23">
        <v>130</v>
      </c>
    </row>
    <row r="24" spans="1:7" x14ac:dyDescent="0.4">
      <c r="A24" t="s">
        <v>28</v>
      </c>
      <c r="B24">
        <v>250</v>
      </c>
    </row>
    <row r="25" spans="1:7" x14ac:dyDescent="0.4">
      <c r="A25" t="s">
        <v>29</v>
      </c>
      <c r="B25">
        <v>434</v>
      </c>
    </row>
    <row r="26" spans="1:7" x14ac:dyDescent="0.4">
      <c r="A26" t="s">
        <v>30</v>
      </c>
      <c r="B26">
        <v>675</v>
      </c>
    </row>
    <row r="27" spans="1:7" x14ac:dyDescent="0.4">
      <c r="A27" t="s">
        <v>31</v>
      </c>
      <c r="B27">
        <v>938</v>
      </c>
    </row>
    <row r="28" spans="1:7" x14ac:dyDescent="0.4">
      <c r="A28" t="s">
        <v>32</v>
      </c>
      <c r="B28">
        <v>1169</v>
      </c>
    </row>
    <row r="29" spans="1:7" x14ac:dyDescent="0.4">
      <c r="A29" t="s">
        <v>33</v>
      </c>
      <c r="B29">
        <v>1350</v>
      </c>
    </row>
    <row r="30" spans="1:7" x14ac:dyDescent="0.4">
      <c r="A30" t="s">
        <v>34</v>
      </c>
      <c r="B30">
        <v>1420</v>
      </c>
    </row>
    <row r="31" spans="1:7" x14ac:dyDescent="0.4">
      <c r="A31" t="s">
        <v>35</v>
      </c>
      <c r="B31">
        <v>1169</v>
      </c>
    </row>
    <row r="32" spans="1:7" x14ac:dyDescent="0.4">
      <c r="A32" t="s">
        <v>36</v>
      </c>
      <c r="B32">
        <v>838</v>
      </c>
    </row>
    <row r="33" spans="1:7" x14ac:dyDescent="0.4">
      <c r="A33" t="s">
        <v>37</v>
      </c>
      <c r="B33">
        <v>675</v>
      </c>
    </row>
    <row r="34" spans="1:7" x14ac:dyDescent="0.4">
      <c r="A34" t="s">
        <v>38</v>
      </c>
      <c r="B34">
        <v>376</v>
      </c>
    </row>
    <row r="35" spans="1:7" x14ac:dyDescent="0.4">
      <c r="A35" t="s">
        <v>39</v>
      </c>
      <c r="B35">
        <v>250</v>
      </c>
    </row>
    <row r="36" spans="1:7" x14ac:dyDescent="0.4">
      <c r="A36" t="s">
        <v>40</v>
      </c>
      <c r="B36">
        <v>130</v>
      </c>
    </row>
    <row r="37" spans="1:7" x14ac:dyDescent="0.4">
      <c r="A37" t="s">
        <v>41</v>
      </c>
      <c r="B37">
        <v>60</v>
      </c>
    </row>
    <row r="38" spans="1:7" x14ac:dyDescent="0.4">
      <c r="A38" t="s">
        <v>42</v>
      </c>
      <c r="B38">
        <v>25</v>
      </c>
    </row>
    <row r="39" spans="1:7" x14ac:dyDescent="0.4">
      <c r="A39" t="s">
        <v>43</v>
      </c>
      <c r="B39">
        <v>9</v>
      </c>
    </row>
    <row r="40" spans="1:7" x14ac:dyDescent="0.4">
      <c r="A40" t="s">
        <v>44</v>
      </c>
      <c r="B40">
        <v>3</v>
      </c>
    </row>
    <row r="41" spans="1:7" x14ac:dyDescent="0.4">
      <c r="A41" t="s">
        <v>45</v>
      </c>
      <c r="B41">
        <v>1</v>
      </c>
    </row>
    <row r="42" spans="1:7" x14ac:dyDescent="0.4">
      <c r="A42" s="2" t="s">
        <v>12</v>
      </c>
      <c r="B42" s="2">
        <v>10000</v>
      </c>
      <c r="C42" s="2"/>
      <c r="D42" s="2"/>
      <c r="E42" s="2"/>
      <c r="F42" s="2"/>
      <c r="G42" s="2"/>
    </row>
    <row r="43" spans="1:7" x14ac:dyDescent="0.4">
      <c r="A43" s="2"/>
      <c r="B43" s="2"/>
      <c r="C43" s="2"/>
      <c r="D43" s="2"/>
      <c r="E43" s="2"/>
      <c r="F43" s="2" t="s">
        <v>46</v>
      </c>
      <c r="G43" s="2" t="s">
        <v>14</v>
      </c>
    </row>
    <row r="44" spans="1:7" x14ac:dyDescent="0.4">
      <c r="A44" s="2" t="s">
        <v>47</v>
      </c>
      <c r="B44" s="2" t="s">
        <v>14</v>
      </c>
      <c r="C44" s="2"/>
      <c r="D44" s="2"/>
      <c r="E44" s="2"/>
      <c r="F44" s="2" t="s">
        <v>48</v>
      </c>
      <c r="G44" s="2" t="s">
        <v>14</v>
      </c>
    </row>
    <row r="45" spans="1:7" x14ac:dyDescent="0.4">
      <c r="A45" s="2"/>
      <c r="B45" s="2"/>
      <c r="C45" s="2"/>
      <c r="D45" s="2"/>
      <c r="E45" s="2"/>
      <c r="F45" s="2"/>
      <c r="G45" s="2"/>
    </row>
    <row r="46" spans="1:7" x14ac:dyDescent="0.4">
      <c r="A46" s="2" t="s">
        <v>13</v>
      </c>
      <c r="B46" s="2" t="s">
        <v>14</v>
      </c>
      <c r="C46" s="2"/>
      <c r="D46" s="2"/>
      <c r="E46" s="2"/>
      <c r="F46" s="2"/>
      <c r="G46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Classwork Data</vt:lpstr>
      <vt:lpstr>Student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2022-09-13T09:38:34Z</dcterms:created>
  <dcterms:modified xsi:type="dcterms:W3CDTF">2023-09-11T08:53:45Z</dcterms:modified>
</cp:coreProperties>
</file>