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STAT221-Statistical Data Analysis\STAT 221-2023\Data tables\"/>
    </mc:Choice>
  </mc:AlternateContent>
  <xr:revisionPtr revIDLastSave="0" documentId="8_{448C11C6-D7EE-437A-B989-B85F2EEC5F23}" xr6:coauthVersionLast="47" xr6:coauthVersionMax="47" xr10:uidLastSave="{00000000-0000-0000-0000-000000000000}"/>
  <bookViews>
    <workbookView minimized="1" xWindow="2031" yWindow="1714" windowWidth="16320" windowHeight="8623" activeTab="2" xr2:uid="{4E55B260-02B7-4A13-BBA1-8450AC1E8EEA}"/>
  </bookViews>
  <sheets>
    <sheet name="Worksheet" sheetId="2" r:id="rId1"/>
    <sheet name="Sheet2" sheetId="4" r:id="rId2"/>
    <sheet name="Sheet1" sheetId="1" r:id="rId3"/>
    <sheet name="Student work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1" l="1"/>
  <c r="M2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4" i="1"/>
  <c r="M3" i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5" i="1"/>
  <c r="N4" i="1"/>
  <c r="K12" i="3"/>
  <c r="H10" i="3"/>
  <c r="K4" i="3"/>
  <c r="K5" i="3"/>
  <c r="K6" i="3"/>
  <c r="K7" i="3"/>
  <c r="K8" i="3"/>
  <c r="K9" i="3"/>
  <c r="J6" i="3"/>
  <c r="J7" i="3" s="1"/>
  <c r="J8" i="3" s="1"/>
  <c r="J9" i="3" s="1"/>
  <c r="J5" i="3"/>
  <c r="J4" i="3"/>
  <c r="F86" i="3"/>
  <c r="F8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64" i="3"/>
  <c r="F63" i="3"/>
  <c r="E65" i="3"/>
  <c r="E66" i="3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64" i="3"/>
  <c r="E63" i="3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Y3" i="2"/>
  <c r="Y2" i="2"/>
  <c r="X4" i="2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3" i="2"/>
  <c r="X2" i="2"/>
  <c r="W17" i="2"/>
  <c r="V6" i="2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4" i="2"/>
  <c r="V3" i="2"/>
  <c r="V5" i="2"/>
  <c r="R21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" i="4"/>
  <c r="AI27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" i="2"/>
  <c r="K11" i="3"/>
  <c r="I5" i="3"/>
  <c r="I6" i="3"/>
  <c r="I7" i="3"/>
  <c r="I8" i="3"/>
  <c r="I9" i="3"/>
  <c r="I4" i="3"/>
  <c r="D5" i="3"/>
  <c r="D6" i="3"/>
  <c r="D7" i="3"/>
  <c r="D8" i="3"/>
  <c r="D4" i="3"/>
  <c r="E4" i="3"/>
  <c r="C5" i="3"/>
  <c r="E5" i="3" s="1"/>
  <c r="C4" i="3"/>
  <c r="AD46" i="2"/>
  <c r="AD47" i="2"/>
  <c r="AD48" i="2"/>
  <c r="AD49" i="2"/>
  <c r="AD50" i="2"/>
  <c r="AD51" i="2"/>
  <c r="AD52" i="2" s="1"/>
  <c r="AD45" i="2"/>
  <c r="AC45" i="2"/>
  <c r="AB46" i="2"/>
  <c r="AC46" i="2" s="1"/>
  <c r="AC47" i="2" s="1"/>
  <c r="AC48" i="2" s="1"/>
  <c r="AC49" i="2" s="1"/>
  <c r="AC50" i="2" s="1"/>
  <c r="AB47" i="2"/>
  <c r="AB48" i="2"/>
  <c r="AB49" i="2"/>
  <c r="AB50" i="2"/>
  <c r="AB45" i="2"/>
  <c r="T64" i="2"/>
  <c r="AD26" i="2"/>
  <c r="AE2" i="2"/>
  <c r="AE3" i="2" s="1"/>
  <c r="AE4" i="2" s="1"/>
  <c r="AE5" i="2" s="1"/>
  <c r="AE6" i="2" s="1"/>
  <c r="AE7" i="2" s="1"/>
  <c r="AE8" i="2" s="1"/>
  <c r="AE9" i="2" s="1"/>
  <c r="AE10" i="2" s="1"/>
  <c r="AE11" i="2" s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N17" i="2"/>
  <c r="N19" i="2" s="1"/>
  <c r="F41" i="2"/>
  <c r="G36" i="2"/>
  <c r="G24" i="2"/>
  <c r="G25" i="2" s="1"/>
  <c r="G26" i="2" s="1"/>
  <c r="G27" i="2" s="1"/>
  <c r="G28" i="2" s="1"/>
  <c r="G29" i="2" s="1"/>
  <c r="G30" i="2" s="1"/>
  <c r="Y4" i="2" l="1"/>
  <c r="AI28" i="2"/>
  <c r="C6" i="3"/>
  <c r="AF4" i="2"/>
  <c r="AF9" i="2"/>
  <c r="AF11" i="2"/>
  <c r="AF3" i="2"/>
  <c r="AF10" i="2"/>
  <c r="AF8" i="2"/>
  <c r="AF25" i="2"/>
  <c r="AF2" i="2"/>
  <c r="AF5" i="2"/>
  <c r="AF7" i="2"/>
  <c r="AF6" i="2"/>
  <c r="AF12" i="2"/>
  <c r="AF13" i="2"/>
  <c r="AF21" i="2"/>
  <c r="AF20" i="2"/>
  <c r="AF18" i="2"/>
  <c r="AF17" i="2"/>
  <c r="AF24" i="2"/>
  <c r="AF16" i="2"/>
  <c r="AF23" i="2"/>
  <c r="AF15" i="2"/>
  <c r="AF22" i="2"/>
  <c r="AF14" i="2"/>
  <c r="AF19" i="2"/>
  <c r="H36" i="2"/>
  <c r="G37" i="2"/>
  <c r="B21" i="2"/>
  <c r="B14" i="2"/>
  <c r="C13" i="2" s="1"/>
  <c r="Y5" i="2" l="1"/>
  <c r="E6" i="3"/>
  <c r="C7" i="3"/>
  <c r="C8" i="2"/>
  <c r="H37" i="2"/>
  <c r="G38" i="2"/>
  <c r="C7" i="2"/>
  <c r="C14" i="2"/>
  <c r="C12" i="2"/>
  <c r="C11" i="2"/>
  <c r="C10" i="2"/>
  <c r="C9" i="2"/>
  <c r="N3" i="1"/>
  <c r="K27" i="1"/>
  <c r="K4" i="1"/>
  <c r="K5" i="1"/>
  <c r="K6" i="1"/>
  <c r="K7" i="1"/>
  <c r="K8" i="1"/>
  <c r="K9" i="1"/>
  <c r="K10" i="1"/>
  <c r="K11" i="1"/>
  <c r="K12" i="1"/>
  <c r="K13" i="1"/>
  <c r="K16" i="1"/>
  <c r="K17" i="1"/>
  <c r="K18" i="1"/>
  <c r="K19" i="1"/>
  <c r="K20" i="1"/>
  <c r="K21" i="1"/>
  <c r="K22" i="1"/>
  <c r="K23" i="1"/>
  <c r="K24" i="1"/>
  <c r="K25" i="1"/>
  <c r="K26" i="1"/>
  <c r="K3" i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3" i="1"/>
  <c r="I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3" i="1"/>
  <c r="H3" i="1" s="1"/>
  <c r="Y6" i="2" l="1"/>
  <c r="C8" i="3"/>
  <c r="E8" i="3" s="1"/>
  <c r="E7" i="3"/>
  <c r="G39" i="2"/>
  <c r="H38" i="2"/>
  <c r="L3" i="1"/>
  <c r="J3" i="1"/>
  <c r="L11" i="1"/>
  <c r="J11" i="1"/>
  <c r="J26" i="1"/>
  <c r="L26" i="1"/>
  <c r="L10" i="1"/>
  <c r="J10" i="1"/>
  <c r="L17" i="1"/>
  <c r="J17" i="1"/>
  <c r="J16" i="1"/>
  <c r="L16" i="1"/>
  <c r="L23" i="1"/>
  <c r="J23" i="1"/>
  <c r="L22" i="1"/>
  <c r="J22" i="1"/>
  <c r="L14" i="1"/>
  <c r="J14" i="1"/>
  <c r="L6" i="1"/>
  <c r="J6" i="1"/>
  <c r="J19" i="1"/>
  <c r="L19" i="1"/>
  <c r="J18" i="1"/>
  <c r="L18" i="1"/>
  <c r="L9" i="1"/>
  <c r="J9" i="1"/>
  <c r="L8" i="1"/>
  <c r="J8" i="1"/>
  <c r="L7" i="1"/>
  <c r="J7" i="1"/>
  <c r="L21" i="1"/>
  <c r="J21" i="1"/>
  <c r="L13" i="1"/>
  <c r="J13" i="1"/>
  <c r="L5" i="1"/>
  <c r="J5" i="1"/>
  <c r="J25" i="1"/>
  <c r="L25" i="1"/>
  <c r="L24" i="1"/>
  <c r="J24" i="1"/>
  <c r="L15" i="1"/>
  <c r="J15" i="1"/>
  <c r="L20" i="1"/>
  <c r="J20" i="1"/>
  <c r="L12" i="1"/>
  <c r="J12" i="1"/>
  <c r="L4" i="1"/>
  <c r="J4" i="1"/>
  <c r="Y7" i="2" l="1"/>
  <c r="G40" i="2"/>
  <c r="H40" i="2" s="1"/>
  <c r="H39" i="2"/>
  <c r="Y8" i="2" l="1"/>
  <c r="Y9" i="2" l="1"/>
  <c r="Y10" i="2" l="1"/>
  <c r="Y11" i="2" l="1"/>
  <c r="Y12" i="2" l="1"/>
  <c r="Y13" i="2" l="1"/>
  <c r="Y14" i="2" l="1"/>
  <c r="Y16" i="2" l="1"/>
  <c r="Y15" i="2"/>
  <c r="F31" i="2" l="1"/>
</calcChain>
</file>

<file path=xl/sharedStrings.xml><?xml version="1.0" encoding="utf-8"?>
<sst xmlns="http://schemas.openxmlformats.org/spreadsheetml/2006/main" count="279" uniqueCount="144">
  <si>
    <t>Frequnency)</t>
  </si>
  <si>
    <t>Height (inches )</t>
  </si>
  <si>
    <t>hmax</t>
  </si>
  <si>
    <t>hmin</t>
  </si>
  <si>
    <t>Height-range (cm)</t>
  </si>
  <si>
    <t>Frequency</t>
  </si>
  <si>
    <t>Height-center</t>
  </si>
  <si>
    <t>Height*frequency</t>
  </si>
  <si>
    <t>Cumulative frequency</t>
  </si>
  <si>
    <t>Mean</t>
  </si>
  <si>
    <t>Total</t>
  </si>
  <si>
    <t>Median</t>
  </si>
  <si>
    <t>Mode</t>
  </si>
  <si>
    <t>Nominal Variable</t>
  </si>
  <si>
    <t>Hindu</t>
  </si>
  <si>
    <t>Religious affiliation</t>
  </si>
  <si>
    <t>Muslim</t>
  </si>
  <si>
    <t>Sikhs</t>
  </si>
  <si>
    <t>Christian</t>
  </si>
  <si>
    <t>Jain</t>
  </si>
  <si>
    <t>Others</t>
  </si>
  <si>
    <t>Percentage</t>
  </si>
  <si>
    <t>Atheist</t>
  </si>
  <si>
    <t>Ordinal Variables</t>
  </si>
  <si>
    <t>How much do you like mess food?</t>
  </si>
  <si>
    <t>Not all</t>
  </si>
  <si>
    <t>Very much</t>
  </si>
  <si>
    <t>Somewhat</t>
  </si>
  <si>
    <t>Mother education level</t>
  </si>
  <si>
    <t>Post graduate (Masters or PhD)</t>
  </si>
  <si>
    <t>Graduate</t>
  </si>
  <si>
    <t>Higher secondary</t>
  </si>
  <si>
    <t>No schooling</t>
  </si>
  <si>
    <t>Primary (1-5)</t>
  </si>
  <si>
    <t>Upper Primary(6-8)</t>
  </si>
  <si>
    <t>Secondary (9-10)</t>
  </si>
  <si>
    <t>Higher secondary/Diploma/Vocational</t>
  </si>
  <si>
    <t>College</t>
  </si>
  <si>
    <t>Post Graduate (PG and above)</t>
  </si>
  <si>
    <t>Mothers education level (attended)</t>
  </si>
  <si>
    <t>11 or more books</t>
  </si>
  <si>
    <t>1-2 books</t>
  </si>
  <si>
    <t>3-5 books</t>
  </si>
  <si>
    <t>None</t>
  </si>
  <si>
    <t>6-10 books</t>
  </si>
  <si>
    <t>No of books read last one year</t>
  </si>
  <si>
    <t>Cumulative Frequency</t>
  </si>
  <si>
    <t>percentage</t>
  </si>
  <si>
    <r>
      <rPr>
        <sz val="9"/>
        <color rgb="FFFFFFFF"/>
        <rFont val="Trebuchet MS"/>
        <family val="2"/>
      </rPr>
      <t>FREQUENCY</t>
    </r>
  </si>
  <si>
    <r>
      <rPr>
        <sz val="9"/>
        <color rgb="FFFFFFFF"/>
        <rFont val="Trebuchet MS"/>
        <family val="2"/>
      </rPr>
      <t>PERCENT</t>
    </r>
  </si>
  <si>
    <r>
      <rPr>
        <sz val="9"/>
        <color rgb="FFFFFFFF"/>
        <rFont val="Trebuchet MS"/>
        <family val="2"/>
      </rPr>
      <t>VALID PERCENT</t>
    </r>
  </si>
  <si>
    <r>
      <rPr>
        <sz val="9"/>
        <color rgb="FFFFFFFF"/>
        <rFont val="Trebuchet MS"/>
        <family val="2"/>
      </rPr>
      <t>CUMULATIVE PERCENT</t>
    </r>
  </si>
  <si>
    <r>
      <rPr>
        <sz val="9"/>
        <color rgb="FF231F20"/>
        <rFont val="Trebuchet MS"/>
        <family val="2"/>
      </rPr>
      <t>Valid</t>
    </r>
  </si>
  <si>
    <r>
      <rPr>
        <sz val="9"/>
        <color rgb="FF231F20"/>
        <rFont val="Trebuchet MS"/>
        <family val="2"/>
      </rPr>
      <t>Total</t>
    </r>
  </si>
  <si>
    <r>
      <rPr>
        <sz val="9"/>
        <color rgb="FFFFFFFF"/>
        <rFont val="Trebuchet MS"/>
        <family val="2"/>
      </rPr>
      <t>RIDER #</t>
    </r>
  </si>
  <si>
    <r>
      <rPr>
        <sz val="9"/>
        <color rgb="FFFFFFFF"/>
        <rFont val="Trebuchet MS"/>
        <family val="2"/>
      </rPr>
      <t># BUS TRIPS</t>
    </r>
  </si>
  <si>
    <t>MODE</t>
  </si>
  <si>
    <t>TOTAL</t>
  </si>
  <si>
    <t>Calculating Median</t>
  </si>
  <si>
    <t>Percentile</t>
  </si>
  <si>
    <t>Case no</t>
  </si>
  <si>
    <t>(N+1)/2</t>
  </si>
  <si>
    <t>Median no of rides</t>
  </si>
  <si>
    <t>Number of people</t>
  </si>
  <si>
    <t>Number of bus rides</t>
  </si>
  <si>
    <t>Cumulative no of people</t>
  </si>
  <si>
    <t>Grouped Data</t>
  </si>
  <si>
    <t>Distribution of height of 10000 people</t>
  </si>
  <si>
    <t>[117-122)</t>
  </si>
  <si>
    <t>[122-127)</t>
  </si>
  <si>
    <t>[127-133)</t>
  </si>
  <si>
    <t>[133-138)</t>
  </si>
  <si>
    <t>[138-143)</t>
  </si>
  <si>
    <t>[143-148)</t>
  </si>
  <si>
    <t>[148-153)</t>
  </si>
  <si>
    <t>[153-158)</t>
  </si>
  <si>
    <t>[158-163)</t>
  </si>
  <si>
    <t>[163-168)</t>
  </si>
  <si>
    <t>[168-173)</t>
  </si>
  <si>
    <t>[173-178)</t>
  </si>
  <si>
    <t>[178-183)</t>
  </si>
  <si>
    <t>[183-188)</t>
  </si>
  <si>
    <t>[188-194)</t>
  </si>
  <si>
    <t>[194-199)</t>
  </si>
  <si>
    <t>[199-204)</t>
  </si>
  <si>
    <t>[204-209)</t>
  </si>
  <si>
    <t>[209-214)</t>
  </si>
  <si>
    <t>[214-219)</t>
  </si>
  <si>
    <t>[219-224)</t>
  </si>
  <si>
    <t>[224-229)</t>
  </si>
  <si>
    <t>[229-234)</t>
  </si>
  <si>
    <t>[234-239)</t>
  </si>
  <si>
    <t>Height Interval (cm)</t>
  </si>
  <si>
    <t>Height-middle</t>
  </si>
  <si>
    <t>Height times frequency</t>
  </si>
  <si>
    <t>SUM</t>
  </si>
  <si>
    <t>MEAN</t>
  </si>
  <si>
    <t>Median Height</t>
  </si>
  <si>
    <t>No of bus rides</t>
  </si>
  <si>
    <r>
      <rPr>
        <sz val="9"/>
        <color rgb="FFFFFFFF"/>
        <rFont val="Trebuchet MS"/>
        <family val="2"/>
      </rPr>
      <t>RIDES</t>
    </r>
  </si>
  <si>
    <r>
      <rPr>
        <sz val="9"/>
        <color rgb="FFFFFFFF"/>
        <rFont val="Trebuchet MS"/>
        <family val="2"/>
      </rPr>
      <t>FREQUENCY OF BUS RIDES</t>
    </r>
  </si>
  <si>
    <r>
      <rPr>
        <sz val="9"/>
        <color rgb="FF231F20"/>
        <rFont val="Trebuchet MS"/>
        <family val="2"/>
      </rPr>
      <t xml:space="preserve">0 </t>
    </r>
    <r>
      <rPr>
        <sz val="9"/>
        <color rgb="FF231F20"/>
        <rFont val="Franklin Gothic Medium"/>
        <family val="2"/>
      </rPr>
      <t xml:space="preserve">*  </t>
    </r>
    <r>
      <rPr>
        <sz val="9"/>
        <color rgb="FF231F20"/>
        <rFont val="Trebuchet MS"/>
        <family val="2"/>
      </rPr>
      <t xml:space="preserve">1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0</t>
    </r>
  </si>
  <si>
    <r>
      <rPr>
        <sz val="9"/>
        <color rgb="FF231F20"/>
        <rFont val="Trebuchet MS"/>
        <family val="2"/>
      </rPr>
      <t xml:space="preserve">2 </t>
    </r>
    <r>
      <rPr>
        <sz val="9"/>
        <color rgb="FF231F20"/>
        <rFont val="Franklin Gothic Medium"/>
        <family val="2"/>
      </rPr>
      <t xml:space="preserve">*  </t>
    </r>
    <r>
      <rPr>
        <sz val="9"/>
        <color rgb="FF231F20"/>
        <rFont val="Trebuchet MS"/>
        <family val="2"/>
      </rPr>
      <t xml:space="preserve">1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2</t>
    </r>
  </si>
  <si>
    <r>
      <rPr>
        <sz val="9"/>
        <color rgb="FF231F20"/>
        <rFont val="Trebuchet MS"/>
        <family val="2"/>
      </rPr>
      <t xml:space="preserve">3 </t>
    </r>
    <r>
      <rPr>
        <sz val="9"/>
        <color rgb="FF231F20"/>
        <rFont val="Franklin Gothic Medium"/>
        <family val="2"/>
      </rPr>
      <t xml:space="preserve">*  </t>
    </r>
    <r>
      <rPr>
        <sz val="9"/>
        <color rgb="FF231F20"/>
        <rFont val="Trebuchet MS"/>
        <family val="2"/>
      </rPr>
      <t xml:space="preserve">2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6</t>
    </r>
  </si>
  <si>
    <r>
      <rPr>
        <sz val="9"/>
        <color rgb="FF231F20"/>
        <rFont val="Trebuchet MS"/>
        <family val="2"/>
      </rPr>
      <t xml:space="preserve">4 </t>
    </r>
    <r>
      <rPr>
        <sz val="9"/>
        <color rgb="FF231F20"/>
        <rFont val="Franklin Gothic Medium"/>
        <family val="2"/>
      </rPr>
      <t xml:space="preserve">*  </t>
    </r>
    <r>
      <rPr>
        <sz val="9"/>
        <color rgb="FF231F20"/>
        <rFont val="Trebuchet MS"/>
        <family val="2"/>
      </rPr>
      <t xml:space="preserve">2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8</t>
    </r>
  </si>
  <si>
    <r>
      <rPr>
        <sz val="9"/>
        <color rgb="FF231F20"/>
        <rFont val="Trebuchet MS"/>
        <family val="2"/>
      </rPr>
      <t xml:space="preserve">5 </t>
    </r>
    <r>
      <rPr>
        <sz val="9"/>
        <color rgb="FF231F20"/>
        <rFont val="Franklin Gothic Medium"/>
        <family val="2"/>
      </rPr>
      <t xml:space="preserve">*  </t>
    </r>
    <r>
      <rPr>
        <sz val="9"/>
        <color rgb="FF231F20"/>
        <rFont val="Trebuchet MS"/>
        <family val="2"/>
      </rPr>
      <t xml:space="preserve">4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20</t>
    </r>
  </si>
  <si>
    <r>
      <rPr>
        <sz val="9"/>
        <color rgb="FF231F20"/>
        <rFont val="Trebuchet MS"/>
        <family val="2"/>
      </rPr>
      <t xml:space="preserve">6 </t>
    </r>
    <r>
      <rPr>
        <sz val="9"/>
        <color rgb="FF231F20"/>
        <rFont val="Franklin Gothic Medium"/>
        <family val="2"/>
      </rPr>
      <t xml:space="preserve">*  </t>
    </r>
    <r>
      <rPr>
        <sz val="9"/>
        <color rgb="FF231F20"/>
        <rFont val="Trebuchet MS"/>
        <family val="2"/>
      </rPr>
      <t xml:space="preserve">1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6</t>
    </r>
  </si>
  <si>
    <r>
      <rPr>
        <sz val="9"/>
        <color rgb="FF231F20"/>
        <rFont val="Trebuchet MS"/>
        <family val="2"/>
      </rPr>
      <t xml:space="preserve">7 </t>
    </r>
    <r>
      <rPr>
        <sz val="9"/>
        <color rgb="FF231F20"/>
        <rFont val="Franklin Gothic Medium"/>
        <family val="2"/>
      </rPr>
      <t xml:space="preserve">*  </t>
    </r>
    <r>
      <rPr>
        <sz val="9"/>
        <color rgb="FF231F20"/>
        <rFont val="Trebuchet MS"/>
        <family val="2"/>
      </rPr>
      <t xml:space="preserve">1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7</t>
    </r>
  </si>
  <si>
    <r>
      <rPr>
        <sz val="9"/>
        <color rgb="FF231F20"/>
        <rFont val="Trebuchet MS"/>
        <family val="2"/>
      </rPr>
      <t xml:space="preserve">8 </t>
    </r>
    <r>
      <rPr>
        <sz val="9"/>
        <color rgb="FF231F20"/>
        <rFont val="Franklin Gothic Medium"/>
        <family val="2"/>
      </rPr>
      <t xml:space="preserve">*  </t>
    </r>
    <r>
      <rPr>
        <sz val="9"/>
        <color rgb="FF231F20"/>
        <rFont val="Trebuchet MS"/>
        <family val="2"/>
      </rPr>
      <t xml:space="preserve">1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8</t>
    </r>
  </si>
  <si>
    <r>
      <rPr>
        <sz val="9"/>
        <color rgb="FF231F20"/>
        <rFont val="Trebuchet MS"/>
        <family val="2"/>
      </rPr>
      <t xml:space="preserve">10 </t>
    </r>
    <r>
      <rPr>
        <sz val="9"/>
        <color rgb="FF231F20"/>
        <rFont val="Franklin Gothic Medium"/>
        <family val="2"/>
      </rPr>
      <t xml:space="preserve">*  </t>
    </r>
    <r>
      <rPr>
        <sz val="9"/>
        <color rgb="FF231F20"/>
        <rFont val="Trebuchet MS"/>
        <family val="2"/>
      </rPr>
      <t xml:space="preserve">1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10</t>
    </r>
  </si>
  <si>
    <r>
      <rPr>
        <sz val="9"/>
        <color rgb="FF231F20"/>
        <rFont val="Trebuchet MS"/>
        <family val="2"/>
      </rPr>
      <t xml:space="preserve">14 </t>
    </r>
    <r>
      <rPr>
        <sz val="9"/>
        <color rgb="FF231F20"/>
        <rFont val="Franklin Gothic Medium"/>
        <family val="2"/>
      </rPr>
      <t xml:space="preserve">*  </t>
    </r>
    <r>
      <rPr>
        <sz val="9"/>
        <color rgb="FF231F20"/>
        <rFont val="Trebuchet MS"/>
        <family val="2"/>
      </rPr>
      <t xml:space="preserve">1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14</t>
    </r>
  </si>
  <si>
    <r>
      <rPr>
        <sz val="9"/>
        <color rgb="FF231F20"/>
        <rFont val="Trebuchet MS"/>
        <family val="2"/>
      </rPr>
      <t xml:space="preserve">Sum of bus rides ( sum X) </t>
    </r>
    <r>
      <rPr>
        <sz val="9"/>
        <color rgb="FF231F20"/>
        <rFont val="Garamond"/>
        <family val="1"/>
      </rPr>
      <t xml:space="preserve">=  </t>
    </r>
    <r>
      <rPr>
        <sz val="9"/>
        <color rgb="FF231F20"/>
        <rFont val="Trebuchet MS"/>
        <family val="2"/>
      </rPr>
      <t>81</t>
    </r>
  </si>
  <si>
    <t>Average</t>
  </si>
  <si>
    <r>
      <rPr>
        <sz val="9"/>
        <color rgb="FF231F20"/>
        <rFont val="Trebuchet MS"/>
        <family val="2"/>
      </rPr>
      <t>LT HIGH SCHOOL</t>
    </r>
  </si>
  <si>
    <r>
      <rPr>
        <sz val="9"/>
        <color rgb="FF231F20"/>
        <rFont val="Trebuchet MS"/>
        <family val="2"/>
      </rPr>
      <t>HIGH SCHOOL</t>
    </r>
  </si>
  <si>
    <r>
      <rPr>
        <sz val="9"/>
        <color rgb="FF231F20"/>
        <rFont val="Trebuchet MS"/>
        <family val="2"/>
      </rPr>
      <t>JUNIOR COLLEGE</t>
    </r>
  </si>
  <si>
    <r>
      <rPr>
        <sz val="9"/>
        <color rgb="FF231F20"/>
        <rFont val="Trebuchet MS"/>
        <family val="2"/>
      </rPr>
      <t>BACHELOR</t>
    </r>
  </si>
  <si>
    <r>
      <rPr>
        <sz val="9"/>
        <color rgb="FF231F20"/>
        <rFont val="Trebuchet MS"/>
        <family val="2"/>
      </rPr>
      <t>GRADUATE</t>
    </r>
  </si>
  <si>
    <r>
      <rPr>
        <sz val="9"/>
        <color rgb="FF231F20"/>
        <rFont val="Trebuchet MS"/>
        <family val="2"/>
      </rPr>
      <t>Missing</t>
    </r>
  </si>
  <si>
    <r>
      <rPr>
        <sz val="9"/>
        <color rgb="FF231F20"/>
        <rFont val="Trebuchet MS"/>
        <family val="2"/>
      </rPr>
      <t>NA</t>
    </r>
  </si>
  <si>
    <r>
      <rPr>
        <sz val="9"/>
        <color rgb="FF231F20"/>
        <rFont val="Trebuchet MS"/>
        <family val="2"/>
      </rPr>
      <t xml:space="preserve">Valid                0
</t>
    </r>
    <r>
      <rPr>
        <sz val="9"/>
        <color rgb="FF231F20"/>
        <rFont val="Trebuchet MS"/>
        <family val="2"/>
      </rPr>
      <t xml:space="preserve">1
</t>
    </r>
    <r>
      <rPr>
        <sz val="9"/>
        <color rgb="FF231F20"/>
        <rFont val="Trebuchet MS"/>
        <family val="2"/>
      </rPr>
      <t xml:space="preserve">2
</t>
    </r>
    <r>
      <rPr>
        <sz val="9"/>
        <color rgb="FF231F20"/>
        <rFont val="Trebuchet MS"/>
        <family val="2"/>
      </rPr>
      <t xml:space="preserve">3
</t>
    </r>
    <r>
      <rPr>
        <sz val="9"/>
        <color rgb="FF231F20"/>
        <rFont val="Trebuchet MS"/>
        <family val="2"/>
      </rPr>
      <t xml:space="preserve">4
</t>
    </r>
    <r>
      <rPr>
        <sz val="9"/>
        <color rgb="FF231F20"/>
        <rFont val="Trebuchet MS"/>
        <family val="2"/>
      </rPr>
      <t>5</t>
    </r>
  </si>
  <si>
    <r>
      <rPr>
        <sz val="9"/>
        <color rgb="FF231F20"/>
        <rFont val="Trebuchet MS"/>
        <family val="2"/>
      </rPr>
      <t xml:space="preserve">4
</t>
    </r>
    <r>
      <rPr>
        <sz val="9"/>
        <color rgb="FF231F20"/>
        <rFont val="Trebuchet MS"/>
        <family val="2"/>
      </rPr>
      <t xml:space="preserve">15
</t>
    </r>
    <r>
      <rPr>
        <sz val="9"/>
        <color rgb="FF231F20"/>
        <rFont val="Trebuchet MS"/>
        <family val="2"/>
      </rPr>
      <t xml:space="preserve">11
</t>
    </r>
    <r>
      <rPr>
        <sz val="9"/>
        <color rgb="FF231F20"/>
        <rFont val="Trebuchet MS"/>
        <family val="2"/>
      </rPr>
      <t xml:space="preserve">8
</t>
    </r>
    <r>
      <rPr>
        <sz val="9"/>
        <color rgb="FF231F20"/>
        <rFont val="Trebuchet MS"/>
        <family val="2"/>
      </rPr>
      <t xml:space="preserve">6
</t>
    </r>
    <r>
      <rPr>
        <sz val="9"/>
        <color rgb="FF231F20"/>
        <rFont val="Trebuchet MS"/>
        <family val="2"/>
      </rPr>
      <t>6</t>
    </r>
  </si>
  <si>
    <r>
      <rPr>
        <sz val="9"/>
        <color rgb="FF231F20"/>
        <rFont val="Trebuchet MS"/>
        <family val="2"/>
      </rPr>
      <t xml:space="preserve">8.0
</t>
    </r>
    <r>
      <rPr>
        <sz val="9"/>
        <color rgb="FF231F20"/>
        <rFont val="Trebuchet MS"/>
        <family val="2"/>
      </rPr>
      <t xml:space="preserve">30.0
</t>
    </r>
    <r>
      <rPr>
        <sz val="9"/>
        <color rgb="FF231F20"/>
        <rFont val="Trebuchet MS"/>
        <family val="2"/>
      </rPr>
      <t xml:space="preserve">22.0
</t>
    </r>
    <r>
      <rPr>
        <sz val="9"/>
        <color rgb="FF231F20"/>
        <rFont val="Trebuchet MS"/>
        <family val="2"/>
      </rPr>
      <t xml:space="preserve">16.0
</t>
    </r>
    <r>
      <rPr>
        <sz val="9"/>
        <color rgb="FF231F20"/>
        <rFont val="Trebuchet MS"/>
        <family val="2"/>
      </rPr>
      <t xml:space="preserve">12.0
</t>
    </r>
    <r>
      <rPr>
        <sz val="9"/>
        <color rgb="FF231F20"/>
        <rFont val="Trebuchet MS"/>
        <family val="2"/>
      </rPr>
      <t>12.0</t>
    </r>
  </si>
  <si>
    <r>
      <rPr>
        <sz val="9"/>
        <color rgb="FF231F20"/>
        <rFont val="Trebuchet MS"/>
        <family val="2"/>
      </rPr>
      <t xml:space="preserve">8.0
</t>
    </r>
    <r>
      <rPr>
        <sz val="9"/>
        <color rgb="FF231F20"/>
        <rFont val="Trebuchet MS"/>
        <family val="2"/>
      </rPr>
      <t xml:space="preserve">38.0
</t>
    </r>
    <r>
      <rPr>
        <sz val="9"/>
        <color rgb="FF231F20"/>
        <rFont val="Trebuchet MS"/>
        <family val="2"/>
      </rPr>
      <t xml:space="preserve">60.0
</t>
    </r>
    <r>
      <rPr>
        <sz val="9"/>
        <color rgb="FF231F20"/>
        <rFont val="Trebuchet MS"/>
        <family val="2"/>
      </rPr>
      <t xml:space="preserve">76.0
</t>
    </r>
    <r>
      <rPr>
        <sz val="9"/>
        <color rgb="FF231F20"/>
        <rFont val="Trebuchet MS"/>
        <family val="2"/>
      </rPr>
      <t xml:space="preserve">88.0
</t>
    </r>
    <r>
      <rPr>
        <sz val="9"/>
        <color rgb="FF231F20"/>
        <rFont val="Trebuchet MS"/>
        <family val="2"/>
      </rPr>
      <t>100.0</t>
    </r>
  </si>
  <si>
    <t>No of brothers/sisters</t>
  </si>
  <si>
    <t>Percent</t>
  </si>
  <si>
    <t>Cumulative percent</t>
  </si>
  <si>
    <t>Siblings-x-frequency</t>
  </si>
  <si>
    <t>Highest year of school completed</t>
  </si>
  <si>
    <r>
      <rPr>
        <sz val="9"/>
        <color rgb="FF231F20"/>
        <rFont val="Trebuchet MS"/>
        <family val="2"/>
      </rPr>
      <t>DK</t>
    </r>
  </si>
  <si>
    <t>No of rides</t>
  </si>
  <si>
    <t>FREQUENCY (no of people)</t>
  </si>
  <si>
    <t>PERCENT</t>
  </si>
  <si>
    <t>CUMULATIVE PERCENT</t>
  </si>
  <si>
    <t>?</t>
  </si>
  <si>
    <t>Cumulative Percentage</t>
  </si>
  <si>
    <t>hmid</t>
  </si>
  <si>
    <t>mean</t>
  </si>
  <si>
    <t>Cumulative percentage /percentile</t>
  </si>
  <si>
    <t>FREQUENCY</t>
  </si>
  <si>
    <t>VALID PERCENT</t>
  </si>
  <si>
    <t>Mean- Calculation: Yrs of schooling x Frequency</t>
  </si>
  <si>
    <t>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</si>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</sst>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rebuchet MS"/>
      <family val="2"/>
    </font>
    <font>
      <sz val="9"/>
      <color rgb="FFFFFFFF"/>
      <name val="Trebuchet MS"/>
      <family val="2"/>
    </font>
    <font>
      <sz val="9"/>
      <color rgb="FF231F20"/>
      <name val="Trebuchet MS"/>
      <family val="2"/>
    </font>
    <font>
      <b/>
      <sz val="9"/>
      <color rgb="FF231F20"/>
      <name val="Trebuchet MS"/>
      <family val="2"/>
    </font>
    <font>
      <b/>
      <sz val="9"/>
      <name val="Trebuchet MS"/>
      <family val="2"/>
    </font>
    <font>
      <sz val="11"/>
      <color theme="0"/>
      <name val="Times New Roman"/>
      <family val="1"/>
    </font>
    <font>
      <sz val="9"/>
      <color rgb="FF231F20"/>
      <name val="Franklin Gothic Medium"/>
      <family val="2"/>
    </font>
    <font>
      <sz val="9"/>
      <color rgb="FF231F20"/>
      <name val="Garamond"/>
      <family val="1"/>
    </font>
    <font>
      <sz val="9"/>
      <color rgb="FF231F20"/>
      <name val="Times New Roman"/>
      <family val="2"/>
      <charset val="204"/>
    </font>
    <font>
      <b/>
      <sz val="10"/>
      <color theme="0"/>
      <name val="Times New Roman"/>
      <family val="1"/>
    </font>
    <font>
      <sz val="9"/>
      <color theme="1"/>
      <name val="Trebuchet MS"/>
      <family val="2"/>
    </font>
    <font>
      <b/>
      <sz val="12"/>
      <color rgb="FFFFFFFF"/>
      <name val="Tw Cen MT"/>
      <family val="2"/>
    </font>
    <font>
      <b/>
      <sz val="14"/>
      <color rgb="FFFFFFFF"/>
      <name val="Tw Cen MT"/>
      <family val="2"/>
    </font>
    <font>
      <sz val="14"/>
      <color rgb="FF000000"/>
      <name val="Tw Cen MT"/>
      <family val="2"/>
    </font>
    <font>
      <b/>
      <sz val="14"/>
      <color rgb="FF000000"/>
      <name val="Tw Cen MT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AB67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CADE4"/>
        <bgColor indexed="64"/>
      </patternFill>
    </fill>
    <fill>
      <patternFill patternType="solid">
        <fgColor rgb="FFE7F1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AEEF"/>
      </right>
      <top/>
      <bottom/>
      <diagonal/>
    </border>
    <border>
      <left style="thin">
        <color rgb="FF00AEEF"/>
      </left>
      <right style="thin">
        <color rgb="FF00AEEF"/>
      </right>
      <top/>
      <bottom/>
      <diagonal/>
    </border>
    <border>
      <left style="thin">
        <color rgb="FF00AEEF"/>
      </left>
      <right/>
      <top/>
      <bottom/>
      <diagonal/>
    </border>
    <border>
      <left/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/>
      <top/>
      <bottom style="thin">
        <color rgb="FF00AEEF"/>
      </bottom>
      <diagonal/>
    </border>
    <border>
      <left style="thin">
        <color rgb="FF00AEEF"/>
      </left>
      <right style="thin">
        <color rgb="FF00AEEF"/>
      </right>
      <top style="thin">
        <color rgb="FF00AEEF"/>
      </top>
      <bottom/>
      <diagonal/>
    </border>
    <border>
      <left style="thin">
        <color rgb="FF00AEEF"/>
      </left>
      <right/>
      <top style="thin">
        <color rgb="FF00AEEF"/>
      </top>
      <bottom/>
      <diagonal/>
    </border>
    <border>
      <left/>
      <right style="thin">
        <color rgb="FF00AEEF"/>
      </right>
      <top style="thin">
        <color rgb="FF00AEEF"/>
      </top>
      <bottom/>
      <diagonal/>
    </border>
    <border>
      <left style="thin">
        <color rgb="FF803594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40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1" fontId="1" fillId="2" borderId="0" xfId="0" applyNumberFormat="1" applyFont="1" applyFill="1"/>
    <xf numFmtId="0" fontId="1" fillId="2" borderId="0" xfId="0" applyFont="1" applyFill="1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top" wrapText="1" indent="2"/>
    </xf>
    <xf numFmtId="0" fontId="2" fillId="3" borderId="4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right" vertical="top" indent="3" shrinkToFit="1"/>
    </xf>
    <xf numFmtId="164" fontId="4" fillId="0" borderId="4" xfId="0" applyNumberFormat="1" applyFont="1" applyBorder="1" applyAlignment="1">
      <alignment horizontal="right" vertical="top" indent="3" shrinkToFit="1"/>
    </xf>
    <xf numFmtId="0" fontId="0" fillId="0" borderId="0" xfId="0" applyAlignment="1">
      <alignment horizontal="left" wrapText="1"/>
    </xf>
    <xf numFmtId="1" fontId="4" fillId="0" borderId="5" xfId="0" applyNumberFormat="1" applyFont="1" applyBorder="1" applyAlignment="1">
      <alignment horizontal="center" vertical="top" shrinkToFit="1"/>
    </xf>
    <xf numFmtId="1" fontId="4" fillId="0" borderId="6" xfId="0" applyNumberFormat="1" applyFont="1" applyBorder="1" applyAlignment="1">
      <alignment horizontal="center" vertical="top" shrinkToFit="1"/>
    </xf>
    <xf numFmtId="164" fontId="4" fillId="0" borderId="6" xfId="0" applyNumberFormat="1" applyFont="1" applyBorder="1" applyAlignment="1">
      <alignment horizontal="center" vertical="top" shrinkToFit="1"/>
    </xf>
    <xf numFmtId="164" fontId="4" fillId="0" borderId="6" xfId="0" applyNumberFormat="1" applyFont="1" applyBorder="1" applyAlignment="1">
      <alignment horizontal="right" vertical="top" indent="3" shrinkToFit="1"/>
    </xf>
    <xf numFmtId="164" fontId="4" fillId="0" borderId="7" xfId="0" applyNumberFormat="1" applyFont="1" applyBorder="1" applyAlignment="1">
      <alignment horizontal="right" vertical="top" indent="3" shrinkToFit="1"/>
    </xf>
    <xf numFmtId="1" fontId="4" fillId="0" borderId="8" xfId="0" applyNumberFormat="1" applyFont="1" applyBorder="1" applyAlignment="1">
      <alignment horizontal="center" vertical="top" shrinkToFit="1"/>
    </xf>
    <xf numFmtId="164" fontId="4" fillId="0" borderId="8" xfId="0" applyNumberFormat="1" applyFont="1" applyBorder="1" applyAlignment="1">
      <alignment horizontal="center" vertical="top" shrinkToFit="1"/>
    </xf>
    <xf numFmtId="164" fontId="4" fillId="0" borderId="8" xfId="0" applyNumberFormat="1" applyFont="1" applyBorder="1" applyAlignment="1">
      <alignment horizontal="right" vertical="top" indent="3" shrinkToFit="1"/>
    </xf>
    <xf numFmtId="0" fontId="0" fillId="0" borderId="9" xfId="0" applyBorder="1" applyAlignment="1">
      <alignment horizontal="left" wrapText="1"/>
    </xf>
    <xf numFmtId="0" fontId="0" fillId="3" borderId="0" xfId="0" applyFill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top" wrapText="1" indent="3"/>
    </xf>
    <xf numFmtId="0" fontId="2" fillId="3" borderId="4" xfId="0" applyFont="1" applyFill="1" applyBorder="1" applyAlignment="1">
      <alignment horizontal="left" vertical="top" wrapText="1" indent="2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1" fontId="5" fillId="2" borderId="4" xfId="0" applyNumberFormat="1" applyFont="1" applyFill="1" applyBorder="1" applyAlignment="1">
      <alignment horizontal="center" vertical="top" shrinkToFit="1"/>
    </xf>
    <xf numFmtId="1" fontId="5" fillId="2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 indent="2"/>
    </xf>
    <xf numFmtId="0" fontId="1" fillId="0" borderId="0" xfId="0" applyFont="1" applyAlignment="1">
      <alignment wrapText="1"/>
    </xf>
    <xf numFmtId="2" fontId="1" fillId="2" borderId="0" xfId="0" applyNumberFormat="1" applyFont="1" applyFill="1"/>
    <xf numFmtId="0" fontId="1" fillId="4" borderId="0" xfId="0" applyFont="1" applyFill="1"/>
    <xf numFmtId="0" fontId="0" fillId="2" borderId="0" xfId="0" applyFill="1"/>
    <xf numFmtId="164" fontId="1" fillId="0" borderId="0" xfId="0" applyNumberFormat="1" applyFont="1"/>
    <xf numFmtId="0" fontId="0" fillId="5" borderId="0" xfId="0" applyFill="1"/>
    <xf numFmtId="0" fontId="7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left" vertical="top" wrapText="1" indent="3"/>
    </xf>
    <xf numFmtId="1" fontId="4" fillId="0" borderId="2" xfId="0" applyNumberFormat="1" applyFont="1" applyBorder="1" applyAlignment="1">
      <alignment horizontal="right" vertical="top" indent="3" shrinkToFit="1"/>
    </xf>
    <xf numFmtId="0" fontId="0" fillId="0" borderId="4" xfId="0" applyBorder="1" applyAlignment="1">
      <alignment horizontal="right" vertical="top" wrapText="1" indent="3"/>
    </xf>
    <xf numFmtId="0" fontId="0" fillId="0" borderId="4" xfId="0" applyBorder="1" applyAlignment="1">
      <alignment horizontal="right" vertical="top" wrapText="1" indent="2"/>
    </xf>
    <xf numFmtId="1" fontId="4" fillId="0" borderId="5" xfId="0" applyNumberFormat="1" applyFont="1" applyBorder="1" applyAlignment="1">
      <alignment horizontal="right" vertical="top" indent="3" shrinkToFit="1"/>
    </xf>
    <xf numFmtId="0" fontId="0" fillId="0" borderId="7" xfId="0" applyBorder="1" applyAlignment="1">
      <alignment horizontal="right" vertical="top" wrapText="1" indent="2"/>
    </xf>
    <xf numFmtId="0" fontId="2" fillId="0" borderId="0" xfId="0" applyFont="1" applyAlignment="1">
      <alignment vertical="top" wrapText="1"/>
    </xf>
    <xf numFmtId="0" fontId="10" fillId="0" borderId="9" xfId="0" applyFont="1" applyBorder="1" applyAlignment="1">
      <alignment horizontal="right" vertical="top" wrapText="1" indent="2"/>
    </xf>
    <xf numFmtId="0" fontId="2" fillId="3" borderId="3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left" vertical="top" indent="2" shrinkToFit="1"/>
    </xf>
    <xf numFmtId="0" fontId="2" fillId="0" borderId="5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164" fontId="4" fillId="0" borderId="8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left" wrapText="1"/>
    </xf>
    <xf numFmtId="164" fontId="4" fillId="0" borderId="3" xfId="0" applyNumberFormat="1" applyFont="1" applyBorder="1" applyAlignment="1">
      <alignment horizontal="left" vertical="top" indent="1" shrinkToFi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1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 wrapText="1" indent="2"/>
    </xf>
    <xf numFmtId="0" fontId="2" fillId="3" borderId="3" xfId="0" applyFont="1" applyFill="1" applyBorder="1" applyAlignment="1">
      <alignment horizontal="left" vertical="top" wrapText="1" indent="1"/>
    </xf>
    <xf numFmtId="0" fontId="2" fillId="0" borderId="10" xfId="0" applyFont="1" applyBorder="1" applyAlignment="1">
      <alignment horizontal="left" vertical="top" wrapText="1" indent="2"/>
    </xf>
    <xf numFmtId="0" fontId="0" fillId="0" borderId="9" xfId="0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vertical="top" wrapText="1"/>
    </xf>
    <xf numFmtId="1" fontId="5" fillId="0" borderId="3" xfId="0" applyNumberFormat="1" applyFont="1" applyBorder="1" applyAlignment="1">
      <alignment horizontal="center" vertical="top" shrinkToFit="1"/>
    </xf>
    <xf numFmtId="49" fontId="4" fillId="0" borderId="2" xfId="0" applyNumberFormat="1" applyFont="1" applyBorder="1" applyAlignment="1">
      <alignment horizontal="center" vertical="top" shrinkToFit="1"/>
    </xf>
    <xf numFmtId="49" fontId="5" fillId="0" borderId="2" xfId="0" applyNumberFormat="1" applyFont="1" applyBorder="1" applyAlignment="1">
      <alignment horizontal="center" vertical="top" shrinkToFit="1"/>
    </xf>
    <xf numFmtId="49" fontId="4" fillId="0" borderId="5" xfId="0" applyNumberFormat="1" applyFont="1" applyBorder="1" applyAlignment="1">
      <alignment horizontal="center" vertical="top" shrinkToFi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left" vertical="top" wrapText="1" indent="1"/>
    </xf>
    <xf numFmtId="0" fontId="0" fillId="3" borderId="0" xfId="0" applyFill="1" applyAlignment="1">
      <alignment vertical="center"/>
    </xf>
    <xf numFmtId="0" fontId="0" fillId="0" borderId="0" xfId="0" applyAlignment="1">
      <alignment wrapText="1"/>
    </xf>
    <xf numFmtId="1" fontId="4" fillId="6" borderId="4" xfId="0" applyNumberFormat="1" applyFont="1" applyFill="1" applyBorder="1" applyAlignment="1">
      <alignment horizontal="center" vertical="top" shrinkToFit="1"/>
    </xf>
    <xf numFmtId="1" fontId="4" fillId="7" borderId="4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Alignment="1">
      <alignment vertical="top" shrinkToFit="1"/>
    </xf>
    <xf numFmtId="0" fontId="13" fillId="8" borderId="12" xfId="0" applyFont="1" applyFill="1" applyBorder="1" applyAlignment="1">
      <alignment horizontal="left" vertical="center" wrapText="1" readingOrder="1"/>
    </xf>
    <xf numFmtId="0" fontId="13" fillId="8" borderId="12" xfId="0" applyFont="1" applyFill="1" applyBorder="1" applyAlignment="1">
      <alignment horizontal="left" vertical="center" wrapText="1" indent="1" readingOrder="1"/>
    </xf>
    <xf numFmtId="0" fontId="13" fillId="8" borderId="12" xfId="0" applyFont="1" applyFill="1" applyBorder="1" applyAlignment="1">
      <alignment horizontal="left" vertical="top" wrapText="1" readingOrder="1"/>
    </xf>
    <xf numFmtId="0" fontId="14" fillId="8" borderId="13" xfId="0" applyFont="1" applyFill="1" applyBorder="1" applyAlignment="1">
      <alignment horizontal="center" vertical="top" wrapText="1" readingOrder="1"/>
    </xf>
    <xf numFmtId="0" fontId="15" fillId="9" borderId="13" xfId="0" applyFont="1" applyFill="1" applyBorder="1" applyAlignment="1">
      <alignment horizontal="center" vertical="top" wrapText="1" readingOrder="1"/>
    </xf>
    <xf numFmtId="0" fontId="15" fillId="9" borderId="13" xfId="0" applyFont="1" applyFill="1" applyBorder="1" applyAlignment="1">
      <alignment horizontal="right" vertical="top" wrapText="1" indent="2" readingOrder="1"/>
    </xf>
    <xf numFmtId="0" fontId="14" fillId="8" borderId="14" xfId="0" applyFont="1" applyFill="1" applyBorder="1" applyAlignment="1">
      <alignment horizontal="center" vertical="top" wrapText="1" readingOrder="1"/>
    </xf>
    <xf numFmtId="0" fontId="15" fillId="9" borderId="14" xfId="0" applyFont="1" applyFill="1" applyBorder="1" applyAlignment="1">
      <alignment horizontal="center" vertical="top" wrapText="1" readingOrder="1"/>
    </xf>
    <xf numFmtId="0" fontId="15" fillId="9" borderId="14" xfId="0" applyFont="1" applyFill="1" applyBorder="1" applyAlignment="1">
      <alignment horizontal="right" vertical="top" wrapText="1" indent="2" readingOrder="1"/>
    </xf>
    <xf numFmtId="0" fontId="16" fillId="9" borderId="14" xfId="0" applyFont="1" applyFill="1" applyBorder="1" applyAlignment="1">
      <alignment horizontal="center" vertical="top" wrapText="1" readingOrder="1"/>
    </xf>
    <xf numFmtId="0" fontId="14" fillId="8" borderId="14" xfId="0" applyFont="1" applyFill="1" applyBorder="1" applyAlignment="1">
      <alignment horizontal="left" vertical="top" wrapText="1" readingOrder="1"/>
    </xf>
    <xf numFmtId="0" fontId="15" fillId="9" borderId="14" xfId="0" applyFont="1" applyFill="1" applyBorder="1" applyAlignment="1">
      <alignment horizontal="left" vertical="top" wrapText="1" readingOrder="1"/>
    </xf>
    <xf numFmtId="0" fontId="14" fillId="2" borderId="14" xfId="0" applyFont="1" applyFill="1" applyBorder="1" applyAlignment="1">
      <alignment horizontal="center" vertical="top" wrapText="1" readingOrder="1"/>
    </xf>
    <xf numFmtId="0" fontId="16" fillId="2" borderId="14" xfId="0" applyFont="1" applyFill="1" applyBorder="1" applyAlignment="1">
      <alignment horizontal="center" vertical="top" wrapText="1" readingOrder="1"/>
    </xf>
    <xf numFmtId="0" fontId="16" fillId="2" borderId="14" xfId="0" applyFont="1" applyFill="1" applyBorder="1" applyAlignment="1">
      <alignment horizontal="right" vertical="top" wrapText="1" indent="2" readingOrder="1"/>
    </xf>
    <xf numFmtId="0" fontId="14" fillId="10" borderId="14" xfId="0" applyFont="1" applyFill="1" applyBorder="1" applyAlignment="1">
      <alignment horizontal="center" vertical="top" wrapText="1" readingOrder="1"/>
    </xf>
    <xf numFmtId="0" fontId="15" fillId="10" borderId="14" xfId="0" applyFont="1" applyFill="1" applyBorder="1" applyAlignment="1">
      <alignment horizontal="center" vertical="top" wrapText="1" readingOrder="1"/>
    </xf>
    <xf numFmtId="0" fontId="15" fillId="10" borderId="14" xfId="0" applyFont="1" applyFill="1" applyBorder="1" applyAlignment="1">
      <alignment horizontal="right" vertical="top" wrapText="1" indent="2" readingOrder="1"/>
    </xf>
    <xf numFmtId="0" fontId="16" fillId="10" borderId="14" xfId="0" applyFont="1" applyFill="1" applyBorder="1" applyAlignment="1">
      <alignment horizontal="right" vertical="top" wrapText="1" indent="2" readingOrder="1"/>
    </xf>
    <xf numFmtId="0" fontId="0" fillId="11" borderId="0" xfId="0" applyFill="1"/>
    <xf numFmtId="0" fontId="2" fillId="3" borderId="4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 indent="1"/>
    </xf>
    <xf numFmtId="164" fontId="4" fillId="0" borderId="4" xfId="0" applyNumberFormat="1" applyFont="1" applyBorder="1" applyAlignment="1">
      <alignment horizontal="right" vertical="top" indent="2" shrinkToFit="1"/>
    </xf>
    <xf numFmtId="164" fontId="4" fillId="0" borderId="2" xfId="0" applyNumberFormat="1" applyFont="1" applyBorder="1" applyAlignment="1">
      <alignment horizontal="right" vertical="top" indent="2" shrinkToFit="1"/>
    </xf>
    <xf numFmtId="164" fontId="4" fillId="0" borderId="7" xfId="0" applyNumberFormat="1" applyFont="1" applyBorder="1" applyAlignment="1">
      <alignment horizontal="right" vertical="top" indent="2" shrinkToFit="1"/>
    </xf>
    <xf numFmtId="164" fontId="4" fillId="0" borderId="5" xfId="0" applyNumberFormat="1" applyFont="1" applyBorder="1" applyAlignment="1">
      <alignment horizontal="right" vertical="top" indent="2" shrinkToFit="1"/>
    </xf>
    <xf numFmtId="164" fontId="4" fillId="0" borderId="9" xfId="0" applyNumberFormat="1" applyFont="1" applyBorder="1" applyAlignment="1">
      <alignment horizontal="right" vertical="top" indent="2" shrinkToFit="1"/>
    </xf>
    <xf numFmtId="164" fontId="4" fillId="0" borderId="10" xfId="0" applyNumberFormat="1" applyFont="1" applyBorder="1" applyAlignment="1">
      <alignment horizontal="right" vertical="top" indent="2" shrinkToFit="1"/>
    </xf>
    <xf numFmtId="0" fontId="0" fillId="0" borderId="9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164" fontId="4" fillId="0" borderId="4" xfId="0" applyNumberFormat="1" applyFont="1" applyBorder="1" applyAlignment="1">
      <alignment horizontal="left" vertical="top" indent="2" shrinkToFit="1"/>
    </xf>
    <xf numFmtId="164" fontId="4" fillId="0" borderId="2" xfId="0" applyNumberFormat="1" applyFont="1" applyBorder="1" applyAlignment="1">
      <alignment horizontal="left" vertical="top" indent="2" shrinkToFi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Mothers</a:t>
            </a:r>
            <a:r>
              <a:rPr lang="en-IN" baseline="0"/>
              <a:t> educational 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Worksheet!$F$23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Worksheet!$E$24:$E$30</c:f>
              <c:strCache>
                <c:ptCount val="7"/>
                <c:pt idx="0">
                  <c:v>No schooling</c:v>
                </c:pt>
                <c:pt idx="1">
                  <c:v>Primary (1-5)</c:v>
                </c:pt>
                <c:pt idx="2">
                  <c:v>Upper Primary(6-8)</c:v>
                </c:pt>
                <c:pt idx="3">
                  <c:v>Secondary (9-10)</c:v>
                </c:pt>
                <c:pt idx="4">
                  <c:v>Higher secondary/Diploma/Vocational</c:v>
                </c:pt>
                <c:pt idx="5">
                  <c:v>College</c:v>
                </c:pt>
                <c:pt idx="6">
                  <c:v>Post Graduate (PG and above)</c:v>
                </c:pt>
              </c:strCache>
            </c:strRef>
          </c:cat>
          <c:val>
            <c:numRef>
              <c:f>Worksheet!$F$24:$F$30</c:f>
              <c:numCache>
                <c:formatCode>General</c:formatCode>
                <c:ptCount val="7"/>
                <c:pt idx="0">
                  <c:v>4</c:v>
                </c:pt>
                <c:pt idx="1">
                  <c:v>12</c:v>
                </c:pt>
                <c:pt idx="2">
                  <c:v>15</c:v>
                </c:pt>
                <c:pt idx="3">
                  <c:v>26</c:v>
                </c:pt>
                <c:pt idx="4">
                  <c:v>20</c:v>
                </c:pt>
                <c:pt idx="5">
                  <c:v>14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9-4FE7-B1FF-44596A17E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380239"/>
        <c:axId val="1598385647"/>
      </c:barChart>
      <c:catAx>
        <c:axId val="159838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85647"/>
        <c:crosses val="autoZero"/>
        <c:auto val="1"/>
        <c:lblAlgn val="ctr"/>
        <c:lblOffset val="100"/>
        <c:noMultiLvlLbl val="0"/>
      </c:catAx>
      <c:valAx>
        <c:axId val="159838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8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Height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Worksheet!$AD$1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F38-4EFA-9A68-86530FEDEAB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38-4EFA-9A68-86530FEDEA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Worksheet!$AC$2:$AC$25</c:f>
              <c:strCache>
                <c:ptCount val="24"/>
                <c:pt idx="0">
                  <c:v>[117-122)</c:v>
                </c:pt>
                <c:pt idx="1">
                  <c:v>[122-127)</c:v>
                </c:pt>
                <c:pt idx="2">
                  <c:v>[127-133)</c:v>
                </c:pt>
                <c:pt idx="3">
                  <c:v>[133-138)</c:v>
                </c:pt>
                <c:pt idx="4">
                  <c:v>[138-143)</c:v>
                </c:pt>
                <c:pt idx="5">
                  <c:v>[143-148)</c:v>
                </c:pt>
                <c:pt idx="6">
                  <c:v>[148-153)</c:v>
                </c:pt>
                <c:pt idx="7">
                  <c:v>[153-158)</c:v>
                </c:pt>
                <c:pt idx="8">
                  <c:v>[158-163)</c:v>
                </c:pt>
                <c:pt idx="9">
                  <c:v>[163-168)</c:v>
                </c:pt>
                <c:pt idx="10">
                  <c:v>[168-173)</c:v>
                </c:pt>
                <c:pt idx="11">
                  <c:v>[173-178)</c:v>
                </c:pt>
                <c:pt idx="12">
                  <c:v>[178-183)</c:v>
                </c:pt>
                <c:pt idx="13">
                  <c:v>[183-188)</c:v>
                </c:pt>
                <c:pt idx="14">
                  <c:v>[188-194)</c:v>
                </c:pt>
                <c:pt idx="15">
                  <c:v>[194-199)</c:v>
                </c:pt>
                <c:pt idx="16">
                  <c:v>[199-204)</c:v>
                </c:pt>
                <c:pt idx="17">
                  <c:v>[204-209)</c:v>
                </c:pt>
                <c:pt idx="18">
                  <c:v>[209-214)</c:v>
                </c:pt>
                <c:pt idx="19">
                  <c:v>[214-219)</c:v>
                </c:pt>
                <c:pt idx="20">
                  <c:v>[219-224)</c:v>
                </c:pt>
                <c:pt idx="21">
                  <c:v>[224-229)</c:v>
                </c:pt>
                <c:pt idx="22">
                  <c:v>[229-234)</c:v>
                </c:pt>
                <c:pt idx="23">
                  <c:v>[234-239)</c:v>
                </c:pt>
              </c:strCache>
            </c:strRef>
          </c:cat>
          <c:val>
            <c:numRef>
              <c:f>Worksheet!$AD$2:$AD$25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25</c:v>
                </c:pt>
                <c:pt idx="4">
                  <c:v>60</c:v>
                </c:pt>
                <c:pt idx="5">
                  <c:v>130</c:v>
                </c:pt>
                <c:pt idx="6">
                  <c:v>250</c:v>
                </c:pt>
                <c:pt idx="7">
                  <c:v>434</c:v>
                </c:pt>
                <c:pt idx="8">
                  <c:v>675</c:v>
                </c:pt>
                <c:pt idx="9">
                  <c:v>938</c:v>
                </c:pt>
                <c:pt idx="10">
                  <c:v>1169</c:v>
                </c:pt>
                <c:pt idx="11">
                  <c:v>1350</c:v>
                </c:pt>
                <c:pt idx="12">
                  <c:v>1420</c:v>
                </c:pt>
                <c:pt idx="13">
                  <c:v>1169</c:v>
                </c:pt>
                <c:pt idx="14">
                  <c:v>838</c:v>
                </c:pt>
                <c:pt idx="15">
                  <c:v>675</c:v>
                </c:pt>
                <c:pt idx="16">
                  <c:v>376</c:v>
                </c:pt>
                <c:pt idx="17">
                  <c:v>250</c:v>
                </c:pt>
                <c:pt idx="18">
                  <c:v>130</c:v>
                </c:pt>
                <c:pt idx="19">
                  <c:v>60</c:v>
                </c:pt>
                <c:pt idx="20">
                  <c:v>25</c:v>
                </c:pt>
                <c:pt idx="21">
                  <c:v>9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8-4EFA-9A68-86530FEDE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429151"/>
        <c:axId val="1883429567"/>
      </c:barChart>
      <c:catAx>
        <c:axId val="18834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29567"/>
        <c:crosses val="autoZero"/>
        <c:auto val="1"/>
        <c:lblAlgn val="ctr"/>
        <c:lblOffset val="100"/>
        <c:noMultiLvlLbl val="0"/>
      </c:catAx>
      <c:valAx>
        <c:axId val="188342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2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 highest year</a:t>
            </a:r>
            <a:r>
              <a:rPr lang="en-US" baseline="0"/>
              <a:t> of school complted</a:t>
            </a:r>
            <a:endParaRPr lang="en-US"/>
          </a:p>
        </c:rich>
      </c:tx>
      <c:layout>
        <c:manualLayout>
          <c:xMode val="edge"/>
          <c:yMode val="edge"/>
          <c:x val="0.1280137795275590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Worksheet!$AN$1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Worksheet!$AM$2:$AM$22</c:f>
              <c:numCache>
                <c:formatCode>@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Worksheet!$AN$2:$AN$22</c:f>
              <c:numCache>
                <c:formatCode>0</c:formatCode>
                <c:ptCount val="21"/>
                <c:pt idx="0">
                  <c:v>22</c:v>
                </c:pt>
                <c:pt idx="1">
                  <c:v>4</c:v>
                </c:pt>
                <c:pt idx="2">
                  <c:v>28</c:v>
                </c:pt>
                <c:pt idx="3">
                  <c:v>13</c:v>
                </c:pt>
                <c:pt idx="4">
                  <c:v>11</c:v>
                </c:pt>
                <c:pt idx="5">
                  <c:v>23</c:v>
                </c:pt>
                <c:pt idx="6">
                  <c:v>69</c:v>
                </c:pt>
                <c:pt idx="7">
                  <c:v>32</c:v>
                </c:pt>
                <c:pt idx="8">
                  <c:v>85</c:v>
                </c:pt>
                <c:pt idx="9">
                  <c:v>127</c:v>
                </c:pt>
                <c:pt idx="10">
                  <c:v>152</c:v>
                </c:pt>
                <c:pt idx="11">
                  <c:v>215</c:v>
                </c:pt>
                <c:pt idx="12">
                  <c:v>1204</c:v>
                </c:pt>
                <c:pt idx="13">
                  <c:v>422</c:v>
                </c:pt>
                <c:pt idx="14">
                  <c:v>628</c:v>
                </c:pt>
                <c:pt idx="15">
                  <c:v>212</c:v>
                </c:pt>
                <c:pt idx="16">
                  <c:v>687</c:v>
                </c:pt>
                <c:pt idx="17">
                  <c:v>167</c:v>
                </c:pt>
                <c:pt idx="18">
                  <c:v>208</c:v>
                </c:pt>
                <c:pt idx="19">
                  <c:v>78</c:v>
                </c:pt>
                <c:pt idx="2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6-40FE-A0E7-AE7D883B3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839583"/>
        <c:axId val="2016837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Worksheet!$AM$1</c15:sqref>
                        </c15:formulaRef>
                      </c:ext>
                    </c:extLst>
                    <c:strCache>
                      <c:ptCount val="1"/>
                      <c:pt idx="0">
                        <c:v>Highest year of school completed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Worksheet!$AM$2:$AM$22</c15:sqref>
                        </c15:formulaRef>
                      </c:ext>
                    </c:extLst>
                    <c:numCache>
                      <c:formatCode>@</c:formatCode>
                      <c:ptCount val="2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Worksheet!$AM$2:$AM$22</c15:sqref>
                        </c15:formulaRef>
                      </c:ext>
                    </c:extLst>
                    <c:numCache>
                      <c:formatCode>@</c:formatCode>
                      <c:ptCount val="2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846-40FE-A0E7-AE7D883B3A9B}"/>
                  </c:ext>
                </c:extLst>
              </c15:ser>
            </c15:filteredBarSeries>
          </c:ext>
        </c:extLst>
      </c:barChart>
      <c:catAx>
        <c:axId val="2016839583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37087"/>
        <c:crosses val="autoZero"/>
        <c:auto val="1"/>
        <c:lblAlgn val="ctr"/>
        <c:lblOffset val="100"/>
        <c:noMultiLvlLbl val="0"/>
      </c:catAx>
      <c:valAx>
        <c:axId val="201683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3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Worksheet!$AQ$1</c:f>
              <c:strCache>
                <c:ptCount val="1"/>
                <c:pt idx="0">
                  <c:v>CUMULATIVE PERCENT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Worksheet!$AM$2:$AM$22</c:f>
              <c:numCache>
                <c:formatCode>@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Worksheet!$AQ$2:$AQ$22</c:f>
              <c:numCache>
                <c:formatCode>0.0</c:formatCode>
                <c:ptCount val="21"/>
                <c:pt idx="0">
                  <c:v>0.5</c:v>
                </c:pt>
                <c:pt idx="1">
                  <c:v>0.6</c:v>
                </c:pt>
                <c:pt idx="2">
                  <c:v>1.2</c:v>
                </c:pt>
                <c:pt idx="3">
                  <c:v>1.5</c:v>
                </c:pt>
                <c:pt idx="4">
                  <c:v>1.7</c:v>
                </c:pt>
                <c:pt idx="5">
                  <c:v>2.2000000000000002</c:v>
                </c:pt>
                <c:pt idx="6">
                  <c:v>3.8</c:v>
                </c:pt>
                <c:pt idx="7">
                  <c:v>4.5</c:v>
                </c:pt>
                <c:pt idx="8">
                  <c:v>6.4</c:v>
                </c:pt>
                <c:pt idx="9">
                  <c:v>9.1999999999999993</c:v>
                </c:pt>
                <c:pt idx="10">
                  <c:v>12.6</c:v>
                </c:pt>
                <c:pt idx="11">
                  <c:v>17.399999999999999</c:v>
                </c:pt>
                <c:pt idx="12">
                  <c:v>44.1</c:v>
                </c:pt>
                <c:pt idx="13">
                  <c:v>53.5</c:v>
                </c:pt>
                <c:pt idx="14">
                  <c:v>67.5</c:v>
                </c:pt>
                <c:pt idx="15">
                  <c:v>72.2</c:v>
                </c:pt>
                <c:pt idx="16">
                  <c:v>87.4</c:v>
                </c:pt>
                <c:pt idx="17">
                  <c:v>91.2</c:v>
                </c:pt>
                <c:pt idx="18">
                  <c:v>95.8</c:v>
                </c:pt>
                <c:pt idx="19">
                  <c:v>97.5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1-44B7-AC53-18D8E5B7D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828079"/>
        <c:axId val="20168322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Worksheet!$AM$1</c15:sqref>
                        </c15:formulaRef>
                      </c:ext>
                    </c:extLst>
                    <c:strCache>
                      <c:ptCount val="1"/>
                      <c:pt idx="0">
                        <c:v>Highest year of school completed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Worksheet!$AM$2:$AM$22</c15:sqref>
                        </c15:formulaRef>
                      </c:ext>
                    </c:extLst>
                    <c:numCache>
                      <c:formatCode>@</c:formatCode>
                      <c:ptCount val="2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Worksheet!$AM$2:$AM$22</c15:sqref>
                        </c15:formulaRef>
                      </c:ext>
                    </c:extLst>
                    <c:numCache>
                      <c:formatCode>@</c:formatCode>
                      <c:ptCount val="2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3D1-44B7-AC53-18D8E5B7D8BD}"/>
                  </c:ext>
                </c:extLst>
              </c15:ser>
            </c15:filteredBarSeries>
          </c:ext>
        </c:extLst>
      </c:barChart>
      <c:catAx>
        <c:axId val="2016828079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32239"/>
        <c:crosses val="autoZero"/>
        <c:auto val="1"/>
        <c:lblAlgn val="ctr"/>
        <c:lblOffset val="100"/>
        <c:noMultiLvlLbl val="0"/>
      </c:catAx>
      <c:valAx>
        <c:axId val="2016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2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Worksheet!$AA$44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Worksheet!$Z$45:$Z$50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Worksheet!$AA$45:$AA$50</c:f>
              <c:numCache>
                <c:formatCode>General</c:formatCode>
                <c:ptCount val="6"/>
                <c:pt idx="0">
                  <c:v>4</c:v>
                </c:pt>
                <c:pt idx="1">
                  <c:v>15</c:v>
                </c:pt>
                <c:pt idx="2">
                  <c:v>11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1-48A1-B265-16671F32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481568"/>
        <c:axId val="10504778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Worksheet!$Z$44</c15:sqref>
                        </c15:formulaRef>
                      </c:ext>
                    </c:extLst>
                    <c:strCache>
                      <c:ptCount val="1"/>
                      <c:pt idx="0">
                        <c:v>No of brothers/sisters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Worksheet!$Z$45:$Z$50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Worksheet!$Z$45:$Z$50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351-48A1-B265-16671F32CF12}"/>
                  </c:ext>
                </c:extLst>
              </c15:ser>
            </c15:filteredBarSeries>
          </c:ext>
        </c:extLst>
      </c:barChart>
      <c:catAx>
        <c:axId val="105048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477824"/>
        <c:crosses val="autoZero"/>
        <c:auto val="1"/>
        <c:lblAlgn val="ctr"/>
        <c:lblOffset val="100"/>
        <c:noMultiLvlLbl val="0"/>
      </c:catAx>
      <c:valAx>
        <c:axId val="10504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48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Worksheet!$W$1</c:f>
              <c:strCache>
                <c:ptCount val="1"/>
                <c:pt idx="0">
                  <c:v>Number of people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Worksheet!$V$2:$V$16</c:f>
              <c:numCache>
                <c:formatCode>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Worksheet!$W$2:$W$16</c:f>
              <c:numCache>
                <c:formatCode>General</c:formatCode>
                <c:ptCount val="15"/>
                <c:pt idx="0" formatCode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C-463A-A645-A2BC975D8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775216"/>
        <c:axId val="459666736"/>
      </c:barChart>
      <c:catAx>
        <c:axId val="4727752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66736"/>
        <c:crosses val="autoZero"/>
        <c:auto val="1"/>
        <c:lblAlgn val="ctr"/>
        <c:lblOffset val="100"/>
        <c:noMultiLvlLbl val="0"/>
      </c:catAx>
      <c:valAx>
        <c:axId val="4596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7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Height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Sheet1!$J$3:$J$26</c:f>
              <c:strCache>
                <c:ptCount val="24"/>
                <c:pt idx="0">
                  <c:v>[117-122)</c:v>
                </c:pt>
                <c:pt idx="1">
                  <c:v>[122-127)</c:v>
                </c:pt>
                <c:pt idx="2">
                  <c:v>[127-133)</c:v>
                </c:pt>
                <c:pt idx="3">
                  <c:v>[133-138)</c:v>
                </c:pt>
                <c:pt idx="4">
                  <c:v>[138-143)</c:v>
                </c:pt>
                <c:pt idx="5">
                  <c:v>[143-148)</c:v>
                </c:pt>
                <c:pt idx="6">
                  <c:v>[148-153)</c:v>
                </c:pt>
                <c:pt idx="7">
                  <c:v>[153-158)</c:v>
                </c:pt>
                <c:pt idx="8">
                  <c:v>[158-163)</c:v>
                </c:pt>
                <c:pt idx="9">
                  <c:v>[163-168)</c:v>
                </c:pt>
                <c:pt idx="10">
                  <c:v>[168-173)</c:v>
                </c:pt>
                <c:pt idx="11">
                  <c:v>[173-178)</c:v>
                </c:pt>
                <c:pt idx="12">
                  <c:v>[178-183)</c:v>
                </c:pt>
                <c:pt idx="13">
                  <c:v>[183-188)</c:v>
                </c:pt>
                <c:pt idx="14">
                  <c:v>[188-194)</c:v>
                </c:pt>
                <c:pt idx="15">
                  <c:v>[194-199)</c:v>
                </c:pt>
                <c:pt idx="16">
                  <c:v>[199-204)</c:v>
                </c:pt>
                <c:pt idx="17">
                  <c:v>[204-209)</c:v>
                </c:pt>
                <c:pt idx="18">
                  <c:v>[209-214)</c:v>
                </c:pt>
                <c:pt idx="19">
                  <c:v>[214-219)</c:v>
                </c:pt>
                <c:pt idx="20">
                  <c:v>[219-224)</c:v>
                </c:pt>
                <c:pt idx="21">
                  <c:v>[224-229)</c:v>
                </c:pt>
                <c:pt idx="22">
                  <c:v>[229-234)</c:v>
                </c:pt>
                <c:pt idx="23">
                  <c:v>[234-239)</c:v>
                </c:pt>
              </c:strCache>
            </c:strRef>
          </c:cat>
          <c:val>
            <c:numRef>
              <c:f>Sheet1!$K$3:$K$26</c:f>
              <c:numCache>
                <c:formatCode>0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25</c:v>
                </c:pt>
                <c:pt idx="4">
                  <c:v>60</c:v>
                </c:pt>
                <c:pt idx="5">
                  <c:v>130</c:v>
                </c:pt>
                <c:pt idx="6">
                  <c:v>250</c:v>
                </c:pt>
                <c:pt idx="7">
                  <c:v>434</c:v>
                </c:pt>
                <c:pt idx="8">
                  <c:v>675</c:v>
                </c:pt>
                <c:pt idx="9">
                  <c:v>938</c:v>
                </c:pt>
                <c:pt idx="10">
                  <c:v>1169</c:v>
                </c:pt>
                <c:pt idx="11">
                  <c:v>1300</c:v>
                </c:pt>
                <c:pt idx="12">
                  <c:v>1312</c:v>
                </c:pt>
                <c:pt idx="13">
                  <c:v>1169</c:v>
                </c:pt>
                <c:pt idx="14">
                  <c:v>938</c:v>
                </c:pt>
                <c:pt idx="15">
                  <c:v>675</c:v>
                </c:pt>
                <c:pt idx="16">
                  <c:v>434</c:v>
                </c:pt>
                <c:pt idx="17">
                  <c:v>250</c:v>
                </c:pt>
                <c:pt idx="18">
                  <c:v>130</c:v>
                </c:pt>
                <c:pt idx="19">
                  <c:v>60</c:v>
                </c:pt>
                <c:pt idx="20">
                  <c:v>25</c:v>
                </c:pt>
                <c:pt idx="21">
                  <c:v>9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E-4855-B21C-AF4A84A1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187071"/>
        <c:axId val="1541189567"/>
      </c:barChart>
      <c:catAx>
        <c:axId val="15411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89567"/>
        <c:crosses val="autoZero"/>
        <c:auto val="1"/>
        <c:lblAlgn val="ctr"/>
        <c:lblOffset val="100"/>
        <c:noMultiLvlLbl val="0"/>
      </c:catAx>
      <c:valAx>
        <c:axId val="154118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8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625928</xdr:colOff>
      <xdr:row>2</xdr:row>
      <xdr:rowOff>19049</xdr:rowOff>
    </xdr:from>
    <xdr:to>
      <xdr:col>10</xdr:col>
      <xdr:colOff>157843</xdr:colOff>
      <xdr:row>16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E022A0-A945-FA7C-80DC-2E1E7705A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16</xdr:col>
      <xdr:colOff>342994</xdr:colOff>
      <xdr:row>38</xdr:row>
      <xdr:rowOff>468154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8C2D90-9571-6C88-60DA-CD08672BB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0214" y="5301343"/>
          <a:ext cx="3608709" cy="2590868"/>
        </a:xfrm>
        <a:prstGeom prst="rect">
          <a:avLst/>
        </a:prstGeom>
      </xdr:spPr>
    </xdr:pic>
    <xdr:clientData/>
  </xdr:twoCellAnchor>
  <xdr:twoCellAnchor>
    <xdr:from>
      <xdr:col>23</xdr:col>
      <xdr:colOff>367234</xdr:colOff>
      <xdr:row>27</xdr:row>
      <xdr:rowOff>61342</xdr:rowOff>
    </xdr:from>
    <xdr:to>
      <xdr:col>31</xdr:col>
      <xdr:colOff>304641</xdr:colOff>
      <xdr:row>40</xdr:row>
      <xdr:rowOff>112075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C00F9-F51F-EC95-CF87-D30FB1567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26</xdr:col>
      <xdr:colOff>0</xdr:colOff>
      <xdr:row>39</xdr:row>
      <xdr:rowOff>186855</xdr:rowOff>
    </xdr:from>
    <xdr:ext cx="4402366" cy="50800"/>
    <xdr:pic>
      <xdr:nvPicPr>
        <xdr:cNvPr id="4" name="image26.jpeg">
          <a:extLst>
            <a:ext uri="{FF2B5EF4-FFF2-40B4-BE49-F238E27FC236}">
              <a16:creationId xmlns:a16="http://schemas.microsoft.com/office/drawing/2014/main" id="{26F522FD-055B-4FBB-8C14-51A94140D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57" y="5896412"/>
          <a:ext cx="4402366" cy="50800"/>
        </a:xfrm>
        <a:prstGeom prst="rect">
          <a:avLst/>
        </a:prstGeom>
      </xdr:spPr>
    </xdr:pic>
    <xdr:clientData/>
  </xdr:oneCellAnchor>
  <xdr:twoCellAnchor>
    <xdr:from>
      <xdr:col>25</xdr:col>
      <xdr:colOff>393316</xdr:colOff>
      <xdr:row>54</xdr:row>
      <xdr:rowOff>3276</xdr:rowOff>
    </xdr:from>
    <xdr:to>
      <xdr:col>32</xdr:col>
      <xdr:colOff>173418</xdr:colOff>
      <xdr:row>65</xdr:row>
      <xdr:rowOff>47675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7E591B-78A0-6F07-665E-476D3B89F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236764</xdr:colOff>
      <xdr:row>33</xdr:row>
      <xdr:rowOff>166007</xdr:rowOff>
    </xdr:from>
    <xdr:to>
      <xdr:col>43</xdr:col>
      <xdr:colOff>329292</xdr:colOff>
      <xdr:row>43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3B2815-F339-C4DD-2EE2-0240E9D94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345641</xdr:colOff>
      <xdr:row>41</xdr:row>
      <xdr:rowOff>66584</xdr:rowOff>
    </xdr:from>
    <xdr:to>
      <xdr:col>34</xdr:col>
      <xdr:colOff>639635</xdr:colOff>
      <xdr:row>51</xdr:row>
      <xdr:rowOff>127132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7F17E3-CB42-051B-75A7-D0C0DFE42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320214</xdr:colOff>
      <xdr:row>1</xdr:row>
      <xdr:rowOff>148030</xdr:rowOff>
    </xdr:from>
    <xdr:to>
      <xdr:col>16</xdr:col>
      <xdr:colOff>331338</xdr:colOff>
      <xdr:row>16</xdr:row>
      <xdr:rowOff>90343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184A5EA-BA9B-C5C5-AD3C-62ACCA38A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840921</xdr:colOff>
      <xdr:row>25</xdr:row>
      <xdr:rowOff>180159</xdr:rowOff>
    </xdr:from>
    <xdr:to>
      <xdr:col>8</xdr:col>
      <xdr:colOff>38935</xdr:colOff>
      <xdr:row>43</xdr:row>
      <xdr:rowOff>139051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37DFF-D1D6-B262-AE60-B6143430B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B475-E7D1-4896-8FF8-51C384D2E004}">
  <dimension ref="A1:AV70"/>
  <sheetViews>
    <sheetView topLeftCell="Z37" zoomScale="137" zoomScaleNormal="137" workbookViewId="0">
      <selection activeCell="K19" sqref="K19"/>
    </sheetView>
  </sheetViews>
  <sheetFormatPr defaultRowHeight="14.6" x14ac:dyDescent="0.4"/>
  <cols>
    <col min="1" max="1" width="14.53515625" customWidth="1"/>
    <col min="3" max="3" width="20" customWidth="1"/>
    <col min="5" max="5" width="15.84375" customWidth="1"/>
    <col min="20" max="20" width="15.3046875" customWidth="1"/>
    <col min="22" max="22" width="11.921875" customWidth="1"/>
    <col min="25" max="25" width="13.69140625" customWidth="1"/>
    <col min="26" max="26" width="11.3828125" bestFit="1" customWidth="1"/>
    <col min="39" max="39" width="17.15234375" customWidth="1"/>
    <col min="45" max="45" width="14.4609375" customWidth="1"/>
    <col min="46" max="46" width="15.69140625" customWidth="1"/>
    <col min="47" max="47" width="12.69140625" customWidth="1"/>
    <col min="48" max="48" width="13.921875" customWidth="1"/>
  </cols>
  <sheetData>
    <row r="1" spans="1:48" ht="43.75" x14ac:dyDescent="0.4">
      <c r="M1" s="33" t="s">
        <v>54</v>
      </c>
      <c r="N1" s="34" t="s">
        <v>55</v>
      </c>
      <c r="P1" t="s">
        <v>58</v>
      </c>
      <c r="Q1" s="33" t="s">
        <v>54</v>
      </c>
      <c r="R1" s="34" t="s">
        <v>55</v>
      </c>
      <c r="S1" s="41" t="s">
        <v>60</v>
      </c>
      <c r="T1" t="s">
        <v>59</v>
      </c>
      <c r="V1" s="42" t="s">
        <v>64</v>
      </c>
      <c r="W1" s="42" t="s">
        <v>63</v>
      </c>
      <c r="X1" s="3" t="s">
        <v>65</v>
      </c>
      <c r="Y1" s="97" t="s">
        <v>138</v>
      </c>
      <c r="AB1" t="s">
        <v>66</v>
      </c>
      <c r="AC1" t="s">
        <v>92</v>
      </c>
      <c r="AD1" t="s">
        <v>5</v>
      </c>
      <c r="AE1" t="s">
        <v>8</v>
      </c>
      <c r="AF1" t="s">
        <v>59</v>
      </c>
      <c r="AH1" s="3" t="s">
        <v>93</v>
      </c>
      <c r="AI1" s="3" t="s">
        <v>94</v>
      </c>
      <c r="AM1" s="79" t="s">
        <v>128</v>
      </c>
      <c r="AN1" s="80" t="s">
        <v>48</v>
      </c>
      <c r="AO1" s="80" t="s">
        <v>49</v>
      </c>
      <c r="AP1" s="81" t="s">
        <v>50</v>
      </c>
      <c r="AQ1" s="14" t="s">
        <v>51</v>
      </c>
      <c r="AS1" s="79" t="s">
        <v>128</v>
      </c>
      <c r="AT1" s="80" t="s">
        <v>48</v>
      </c>
      <c r="AU1" s="80" t="s">
        <v>49</v>
      </c>
      <c r="AV1" s="14" t="s">
        <v>51</v>
      </c>
    </row>
    <row r="2" spans="1:48" x14ac:dyDescent="0.4">
      <c r="M2" s="16">
        <v>9</v>
      </c>
      <c r="N2" s="35">
        <v>0</v>
      </c>
      <c r="Q2" s="16">
        <v>9</v>
      </c>
      <c r="R2" s="35">
        <v>0</v>
      </c>
      <c r="S2" s="38">
        <v>1</v>
      </c>
      <c r="V2" s="100">
        <v>0</v>
      </c>
      <c r="W2" s="100">
        <v>1</v>
      </c>
      <c r="X2" s="1">
        <f>W2</f>
        <v>1</v>
      </c>
      <c r="Y2" s="5">
        <f>X2/15*100</f>
        <v>6.666666666666667</v>
      </c>
      <c r="Z2" s="5">
        <f>X2/$W$17*100</f>
        <v>6.666666666666667</v>
      </c>
      <c r="AC2" t="s">
        <v>68</v>
      </c>
      <c r="AD2">
        <v>1</v>
      </c>
      <c r="AE2">
        <f>AD2</f>
        <v>1</v>
      </c>
      <c r="AF2" s="5">
        <f>AE2/$AD$26*100</f>
        <v>0.01</v>
      </c>
      <c r="AH2">
        <v>119.5</v>
      </c>
      <c r="AI2">
        <f>AH2*AD2</f>
        <v>119.5</v>
      </c>
      <c r="AM2" s="91">
        <v>0</v>
      </c>
      <c r="AN2" s="17">
        <v>22</v>
      </c>
      <c r="AO2" s="18">
        <v>0.5</v>
      </c>
      <c r="AP2" s="19">
        <v>0.5</v>
      </c>
      <c r="AQ2" s="20">
        <v>0.5</v>
      </c>
      <c r="AS2" s="91">
        <v>0</v>
      </c>
      <c r="AT2" s="17">
        <v>22</v>
      </c>
    </row>
    <row r="3" spans="1:48" x14ac:dyDescent="0.4">
      <c r="M3" s="16">
        <v>10</v>
      </c>
      <c r="N3" s="35">
        <v>2</v>
      </c>
      <c r="Q3" s="16">
        <v>10</v>
      </c>
      <c r="R3" s="35">
        <v>2</v>
      </c>
      <c r="S3" s="38">
        <f>S2+1</f>
        <v>2</v>
      </c>
      <c r="V3" s="1">
        <f>V2+1</f>
        <v>1</v>
      </c>
      <c r="W3">
        <v>0</v>
      </c>
      <c r="X3" s="1">
        <f>W3+X2</f>
        <v>1</v>
      </c>
      <c r="Y3" s="5">
        <f>X3/15*100</f>
        <v>6.666666666666667</v>
      </c>
      <c r="Z3" s="5">
        <f t="shared" ref="Z3:Z16" si="0">X3/$W$17*100</f>
        <v>6.666666666666667</v>
      </c>
      <c r="AC3" t="s">
        <v>69</v>
      </c>
      <c r="AD3" s="3">
        <v>3</v>
      </c>
      <c r="AE3">
        <f>AD3+AE2</f>
        <v>4</v>
      </c>
      <c r="AF3" s="5">
        <f t="shared" ref="AF3:AF25" si="1">AE3/$AD$26*100</f>
        <v>0.04</v>
      </c>
      <c r="AH3">
        <v>124.5</v>
      </c>
      <c r="AI3">
        <f t="shared" ref="AI3:AI25" si="2">AH3*AD3</f>
        <v>373.5</v>
      </c>
      <c r="AM3" s="91">
        <v>1</v>
      </c>
      <c r="AN3" s="17">
        <v>4</v>
      </c>
      <c r="AO3" s="18">
        <v>0.1</v>
      </c>
      <c r="AP3" s="19">
        <v>0.1</v>
      </c>
      <c r="AQ3" s="20">
        <v>0.6</v>
      </c>
      <c r="AS3" s="91">
        <v>1</v>
      </c>
      <c r="AT3" s="17">
        <v>4</v>
      </c>
    </row>
    <row r="4" spans="1:48" x14ac:dyDescent="0.4">
      <c r="A4" t="s">
        <v>13</v>
      </c>
      <c r="M4" s="16">
        <v>2</v>
      </c>
      <c r="N4" s="35">
        <v>3</v>
      </c>
      <c r="Q4" s="16">
        <v>2</v>
      </c>
      <c r="R4" s="98">
        <v>3</v>
      </c>
      <c r="S4" s="38">
        <f t="shared" ref="S4:S16" si="3">S3+1</f>
        <v>3</v>
      </c>
      <c r="V4" s="1">
        <f>V3+1</f>
        <v>2</v>
      </c>
      <c r="W4">
        <v>1</v>
      </c>
      <c r="X4" s="1">
        <f t="shared" ref="X4:X16" si="4">W4+X3</f>
        <v>2</v>
      </c>
      <c r="Y4" s="5">
        <f t="shared" ref="Y4:Y16" si="5">X4/15*100</f>
        <v>13.333333333333334</v>
      </c>
      <c r="Z4" s="5">
        <f t="shared" si="0"/>
        <v>13.333333333333334</v>
      </c>
      <c r="AC4" t="s">
        <v>70</v>
      </c>
      <c r="AD4" s="3">
        <v>9</v>
      </c>
      <c r="AE4">
        <f t="shared" ref="AE4:AE25" si="6">AD4+AE3</f>
        <v>13</v>
      </c>
      <c r="AF4" s="5">
        <f t="shared" si="1"/>
        <v>0.13</v>
      </c>
      <c r="AH4">
        <v>130</v>
      </c>
      <c r="AI4">
        <f t="shared" si="2"/>
        <v>1170</v>
      </c>
      <c r="AM4" s="91">
        <v>2</v>
      </c>
      <c r="AN4" s="17">
        <v>28</v>
      </c>
      <c r="AO4" s="18">
        <v>0.6</v>
      </c>
      <c r="AP4" s="19">
        <v>0.6</v>
      </c>
      <c r="AQ4" s="20">
        <v>1.2</v>
      </c>
      <c r="AS4" s="91">
        <v>2</v>
      </c>
      <c r="AT4" s="17">
        <v>28</v>
      </c>
    </row>
    <row r="5" spans="1:48" x14ac:dyDescent="0.4">
      <c r="M5" s="16">
        <v>15</v>
      </c>
      <c r="N5" s="35">
        <v>3</v>
      </c>
      <c r="Q5" s="16">
        <v>15</v>
      </c>
      <c r="R5" s="98">
        <v>3</v>
      </c>
      <c r="S5" s="38">
        <f t="shared" si="3"/>
        <v>4</v>
      </c>
      <c r="V5" s="1">
        <f t="shared" ref="V5:V16" si="7">V4+1</f>
        <v>3</v>
      </c>
      <c r="W5">
        <v>2</v>
      </c>
      <c r="X5" s="1">
        <f t="shared" si="4"/>
        <v>4</v>
      </c>
      <c r="Y5" s="5">
        <f t="shared" si="5"/>
        <v>26.666666666666668</v>
      </c>
      <c r="Z5" s="5">
        <f t="shared" si="0"/>
        <v>26.666666666666668</v>
      </c>
      <c r="AC5" t="s">
        <v>71</v>
      </c>
      <c r="AD5">
        <v>25</v>
      </c>
      <c r="AE5">
        <f t="shared" si="6"/>
        <v>38</v>
      </c>
      <c r="AF5" s="5">
        <f t="shared" si="1"/>
        <v>0.38</v>
      </c>
      <c r="AH5">
        <v>135.5</v>
      </c>
      <c r="AI5">
        <f t="shared" si="2"/>
        <v>3387.5</v>
      </c>
      <c r="AM5" s="91">
        <v>3</v>
      </c>
      <c r="AN5" s="17">
        <v>13</v>
      </c>
      <c r="AO5" s="18">
        <v>0.3</v>
      </c>
      <c r="AP5" s="19">
        <v>0.3</v>
      </c>
      <c r="AQ5" s="20">
        <v>1.5</v>
      </c>
      <c r="AS5" s="91">
        <v>3</v>
      </c>
      <c r="AT5" s="17">
        <v>13</v>
      </c>
    </row>
    <row r="6" spans="1:48" x14ac:dyDescent="0.4">
      <c r="A6" s="9" t="s">
        <v>15</v>
      </c>
      <c r="B6" s="9" t="s">
        <v>5</v>
      </c>
      <c r="C6" s="9" t="s">
        <v>21</v>
      </c>
      <c r="M6" s="16">
        <v>8</v>
      </c>
      <c r="N6" s="35">
        <v>4</v>
      </c>
      <c r="Q6" s="16">
        <v>8</v>
      </c>
      <c r="R6" s="99">
        <v>4</v>
      </c>
      <c r="S6" s="38">
        <f t="shared" si="3"/>
        <v>5</v>
      </c>
      <c r="V6" s="1">
        <f t="shared" si="7"/>
        <v>4</v>
      </c>
      <c r="W6">
        <v>2</v>
      </c>
      <c r="X6" s="1">
        <f t="shared" si="4"/>
        <v>6</v>
      </c>
      <c r="Y6" s="5">
        <f t="shared" si="5"/>
        <v>40</v>
      </c>
      <c r="Z6" s="5">
        <f t="shared" si="0"/>
        <v>40</v>
      </c>
      <c r="AC6" t="s">
        <v>72</v>
      </c>
      <c r="AD6">
        <v>60</v>
      </c>
      <c r="AE6">
        <f t="shared" si="6"/>
        <v>98</v>
      </c>
      <c r="AF6" s="5">
        <f t="shared" si="1"/>
        <v>0.98</v>
      </c>
      <c r="AH6">
        <v>140.5</v>
      </c>
      <c r="AI6">
        <f t="shared" si="2"/>
        <v>8430</v>
      </c>
      <c r="AM6" s="91">
        <v>4</v>
      </c>
      <c r="AN6" s="17">
        <v>11</v>
      </c>
      <c r="AO6" s="18">
        <v>0.2</v>
      </c>
      <c r="AP6" s="19">
        <v>0.2</v>
      </c>
      <c r="AQ6" s="20">
        <v>1.7</v>
      </c>
      <c r="AS6" s="91">
        <v>4</v>
      </c>
      <c r="AT6" s="17">
        <v>11</v>
      </c>
    </row>
    <row r="7" spans="1:48" x14ac:dyDescent="0.4">
      <c r="A7" s="9" t="s">
        <v>14</v>
      </c>
      <c r="B7" s="9">
        <v>86</v>
      </c>
      <c r="C7" s="10">
        <f t="shared" ref="C7:C14" si="8">B7/$B$14*100</f>
        <v>57.333333333333336</v>
      </c>
      <c r="M7" s="16">
        <v>14</v>
      </c>
      <c r="N7" s="35">
        <v>4</v>
      </c>
      <c r="Q7" s="16">
        <v>14</v>
      </c>
      <c r="R7" s="99">
        <v>4</v>
      </c>
      <c r="S7" s="38">
        <f t="shared" si="3"/>
        <v>6</v>
      </c>
      <c r="U7" t="s">
        <v>56</v>
      </c>
      <c r="V7" s="4">
        <f t="shared" si="7"/>
        <v>5</v>
      </c>
      <c r="W7" s="3">
        <v>4</v>
      </c>
      <c r="X7" s="4">
        <f t="shared" si="4"/>
        <v>10</v>
      </c>
      <c r="Y7" s="6">
        <f t="shared" si="5"/>
        <v>66.666666666666657</v>
      </c>
      <c r="Z7" s="5">
        <f t="shared" si="0"/>
        <v>66.666666666666657</v>
      </c>
      <c r="AC7" t="s">
        <v>73</v>
      </c>
      <c r="AD7">
        <v>130</v>
      </c>
      <c r="AE7">
        <f t="shared" si="6"/>
        <v>228</v>
      </c>
      <c r="AF7" s="5">
        <f t="shared" si="1"/>
        <v>2.2800000000000002</v>
      </c>
      <c r="AH7">
        <v>145.5</v>
      </c>
      <c r="AI7">
        <f t="shared" si="2"/>
        <v>18915</v>
      </c>
      <c r="AM7" s="91">
        <v>5</v>
      </c>
      <c r="AN7" s="17">
        <v>23</v>
      </c>
      <c r="AO7" s="18">
        <v>0.5</v>
      </c>
      <c r="AP7" s="19">
        <v>0.5</v>
      </c>
      <c r="AQ7" s="20">
        <v>2.2000000000000002</v>
      </c>
      <c r="AS7" s="91">
        <v>5</v>
      </c>
      <c r="AT7" s="17">
        <v>23</v>
      </c>
    </row>
    <row r="8" spans="1:48" x14ac:dyDescent="0.4">
      <c r="A8" s="9" t="s">
        <v>16</v>
      </c>
      <c r="B8" s="9">
        <v>22</v>
      </c>
      <c r="C8" s="10">
        <f t="shared" si="8"/>
        <v>14.666666666666666</v>
      </c>
      <c r="M8" s="16">
        <v>1</v>
      </c>
      <c r="N8" s="35">
        <v>5</v>
      </c>
      <c r="Q8" s="16">
        <v>1</v>
      </c>
      <c r="R8" s="35">
        <v>5</v>
      </c>
      <c r="S8" s="38">
        <f t="shared" si="3"/>
        <v>7</v>
      </c>
      <c r="V8" s="1">
        <f t="shared" si="7"/>
        <v>6</v>
      </c>
      <c r="W8">
        <v>1</v>
      </c>
      <c r="X8" s="1">
        <f t="shared" si="4"/>
        <v>11</v>
      </c>
      <c r="Y8" s="5">
        <f t="shared" si="5"/>
        <v>73.333333333333329</v>
      </c>
      <c r="Z8" s="5">
        <f t="shared" si="0"/>
        <v>73.333333333333329</v>
      </c>
      <c r="AC8" t="s">
        <v>74</v>
      </c>
      <c r="AD8">
        <v>250</v>
      </c>
      <c r="AE8">
        <f t="shared" si="6"/>
        <v>478</v>
      </c>
      <c r="AF8" s="5">
        <f t="shared" si="1"/>
        <v>4.78</v>
      </c>
      <c r="AH8">
        <v>150.5</v>
      </c>
      <c r="AI8">
        <f t="shared" si="2"/>
        <v>37625</v>
      </c>
      <c r="AM8" s="91">
        <v>6</v>
      </c>
      <c r="AN8" s="17">
        <v>69</v>
      </c>
      <c r="AO8" s="18">
        <v>1.5</v>
      </c>
      <c r="AP8" s="19">
        <v>1.5</v>
      </c>
      <c r="AQ8" s="20">
        <v>3.8</v>
      </c>
      <c r="AS8" s="91">
        <v>6</v>
      </c>
      <c r="AT8" s="17">
        <v>69</v>
      </c>
    </row>
    <row r="9" spans="1:48" x14ac:dyDescent="0.4">
      <c r="A9" s="9" t="s">
        <v>17</v>
      </c>
      <c r="B9" s="9">
        <v>12</v>
      </c>
      <c r="C9" s="10">
        <f t="shared" si="8"/>
        <v>8</v>
      </c>
      <c r="M9" s="16">
        <v>4</v>
      </c>
      <c r="N9" s="35">
        <v>5</v>
      </c>
      <c r="Q9" s="16">
        <v>4</v>
      </c>
      <c r="R9" s="39">
        <v>5</v>
      </c>
      <c r="S9" s="40">
        <f t="shared" si="3"/>
        <v>8</v>
      </c>
      <c r="V9" s="1">
        <f t="shared" si="7"/>
        <v>7</v>
      </c>
      <c r="W9">
        <v>1</v>
      </c>
      <c r="X9" s="1">
        <f t="shared" si="4"/>
        <v>12</v>
      </c>
      <c r="Y9" s="5">
        <f t="shared" si="5"/>
        <v>80</v>
      </c>
      <c r="Z9" s="5">
        <f t="shared" si="0"/>
        <v>80</v>
      </c>
      <c r="AC9" t="s">
        <v>75</v>
      </c>
      <c r="AD9">
        <v>434</v>
      </c>
      <c r="AE9">
        <f t="shared" si="6"/>
        <v>912</v>
      </c>
      <c r="AF9" s="5">
        <f t="shared" si="1"/>
        <v>9.120000000000001</v>
      </c>
      <c r="AH9">
        <v>155.5</v>
      </c>
      <c r="AI9">
        <f t="shared" si="2"/>
        <v>67487</v>
      </c>
      <c r="AM9" s="91">
        <v>7</v>
      </c>
      <c r="AN9" s="17">
        <v>32</v>
      </c>
      <c r="AO9" s="18">
        <v>0.7</v>
      </c>
      <c r="AP9" s="19">
        <v>0.7</v>
      </c>
      <c r="AQ9" s="20">
        <v>4.5</v>
      </c>
      <c r="AS9" s="91">
        <v>7</v>
      </c>
      <c r="AT9" s="17">
        <v>32</v>
      </c>
    </row>
    <row r="10" spans="1:48" x14ac:dyDescent="0.4">
      <c r="A10" s="9" t="s">
        <v>19</v>
      </c>
      <c r="B10" s="9">
        <v>11</v>
      </c>
      <c r="C10" s="10">
        <f t="shared" si="8"/>
        <v>7.333333333333333</v>
      </c>
      <c r="M10" s="16">
        <v>7</v>
      </c>
      <c r="N10" s="35">
        <v>5</v>
      </c>
      <c r="Q10" s="16">
        <v>7</v>
      </c>
      <c r="R10" s="35">
        <v>5</v>
      </c>
      <c r="S10" s="38">
        <f t="shared" si="3"/>
        <v>9</v>
      </c>
      <c r="V10" s="1">
        <f t="shared" si="7"/>
        <v>8</v>
      </c>
      <c r="W10">
        <v>1</v>
      </c>
      <c r="X10" s="1">
        <f t="shared" si="4"/>
        <v>13</v>
      </c>
      <c r="Y10" s="5">
        <f t="shared" si="5"/>
        <v>86.666666666666671</v>
      </c>
      <c r="Z10" s="5">
        <f t="shared" si="0"/>
        <v>86.666666666666671</v>
      </c>
      <c r="AC10" t="s">
        <v>76</v>
      </c>
      <c r="AD10">
        <v>675</v>
      </c>
      <c r="AE10">
        <f t="shared" si="6"/>
        <v>1587</v>
      </c>
      <c r="AF10" s="5">
        <f t="shared" si="1"/>
        <v>15.870000000000001</v>
      </c>
      <c r="AH10">
        <v>160.5</v>
      </c>
      <c r="AI10">
        <f t="shared" si="2"/>
        <v>108337.5</v>
      </c>
      <c r="AM10" s="91">
        <v>8</v>
      </c>
      <c r="AN10" s="17">
        <v>85</v>
      </c>
      <c r="AO10" s="18">
        <v>1.9</v>
      </c>
      <c r="AP10" s="19">
        <v>1.9</v>
      </c>
      <c r="AQ10" s="20">
        <v>6.4</v>
      </c>
      <c r="AS10" s="91">
        <v>8</v>
      </c>
      <c r="AT10" s="17">
        <v>85</v>
      </c>
    </row>
    <row r="11" spans="1:48" x14ac:dyDescent="0.4">
      <c r="A11" s="9" t="s">
        <v>18</v>
      </c>
      <c r="B11" s="9">
        <v>6</v>
      </c>
      <c r="C11" s="10">
        <f t="shared" si="8"/>
        <v>4</v>
      </c>
      <c r="M11" s="16">
        <v>12</v>
      </c>
      <c r="N11" s="35">
        <v>5</v>
      </c>
      <c r="Q11" s="16">
        <v>12</v>
      </c>
      <c r="R11" s="35">
        <v>5</v>
      </c>
      <c r="S11" s="38">
        <f t="shared" si="3"/>
        <v>10</v>
      </c>
      <c r="V11" s="1">
        <f t="shared" si="7"/>
        <v>9</v>
      </c>
      <c r="W11">
        <v>0</v>
      </c>
      <c r="X11" s="1">
        <f t="shared" si="4"/>
        <v>13</v>
      </c>
      <c r="Y11" s="5">
        <f t="shared" si="5"/>
        <v>86.666666666666671</v>
      </c>
      <c r="Z11" s="5">
        <f t="shared" si="0"/>
        <v>86.666666666666671</v>
      </c>
      <c r="AC11" t="s">
        <v>77</v>
      </c>
      <c r="AD11">
        <v>938</v>
      </c>
      <c r="AE11">
        <f t="shared" si="6"/>
        <v>2525</v>
      </c>
      <c r="AF11" s="5">
        <f t="shared" si="1"/>
        <v>25.25</v>
      </c>
      <c r="AH11">
        <v>165.5</v>
      </c>
      <c r="AI11">
        <f t="shared" si="2"/>
        <v>155239</v>
      </c>
      <c r="AM11" s="91">
        <v>9</v>
      </c>
      <c r="AN11" s="17">
        <v>127</v>
      </c>
      <c r="AO11" s="18">
        <v>2.8</v>
      </c>
      <c r="AP11" s="19">
        <v>2.8</v>
      </c>
      <c r="AQ11" s="20">
        <v>9.1999999999999993</v>
      </c>
      <c r="AS11" s="91">
        <v>9</v>
      </c>
      <c r="AT11" s="17">
        <v>127</v>
      </c>
    </row>
    <row r="12" spans="1:48" x14ac:dyDescent="0.4">
      <c r="A12" s="9" t="s">
        <v>22</v>
      </c>
      <c r="B12" s="9">
        <v>10</v>
      </c>
      <c r="C12" s="10">
        <f t="shared" si="8"/>
        <v>6.666666666666667</v>
      </c>
      <c r="M12" s="16">
        <v>6</v>
      </c>
      <c r="N12" s="35">
        <v>6</v>
      </c>
      <c r="Q12" s="16">
        <v>6</v>
      </c>
      <c r="R12" s="35">
        <v>6</v>
      </c>
      <c r="S12" s="38">
        <f t="shared" si="3"/>
        <v>11</v>
      </c>
      <c r="V12" s="1">
        <f t="shared" si="7"/>
        <v>10</v>
      </c>
      <c r="W12">
        <v>1</v>
      </c>
      <c r="X12" s="1">
        <f t="shared" si="4"/>
        <v>14</v>
      </c>
      <c r="Y12" s="5">
        <f t="shared" si="5"/>
        <v>93.333333333333329</v>
      </c>
      <c r="Z12" s="5">
        <f t="shared" si="0"/>
        <v>93.333333333333329</v>
      </c>
      <c r="AC12" t="s">
        <v>78</v>
      </c>
      <c r="AD12">
        <v>1169</v>
      </c>
      <c r="AE12">
        <f t="shared" si="6"/>
        <v>3694</v>
      </c>
      <c r="AF12" s="43">
        <f t="shared" si="1"/>
        <v>36.94</v>
      </c>
      <c r="AH12">
        <v>170.5</v>
      </c>
      <c r="AI12">
        <f t="shared" si="2"/>
        <v>199314.5</v>
      </c>
      <c r="AM12" s="91">
        <v>10</v>
      </c>
      <c r="AN12" s="17">
        <v>152</v>
      </c>
      <c r="AO12" s="18">
        <v>3.4</v>
      </c>
      <c r="AP12" s="19">
        <v>3.4</v>
      </c>
      <c r="AQ12" s="20">
        <v>12.6</v>
      </c>
      <c r="AS12" s="91">
        <v>10</v>
      </c>
      <c r="AT12" s="17">
        <v>152</v>
      </c>
    </row>
    <row r="13" spans="1:48" x14ac:dyDescent="0.4">
      <c r="A13" s="9" t="s">
        <v>20</v>
      </c>
      <c r="B13" s="9">
        <v>3</v>
      </c>
      <c r="C13" s="10">
        <f t="shared" si="8"/>
        <v>2</v>
      </c>
      <c r="M13" s="16">
        <v>13</v>
      </c>
      <c r="N13" s="35">
        <v>7</v>
      </c>
      <c r="Q13" s="16">
        <v>13</v>
      </c>
      <c r="R13" s="35">
        <v>7</v>
      </c>
      <c r="S13" s="38">
        <f t="shared" si="3"/>
        <v>12</v>
      </c>
      <c r="V13" s="1">
        <f t="shared" si="7"/>
        <v>11</v>
      </c>
      <c r="W13">
        <v>0</v>
      </c>
      <c r="X13" s="1">
        <f t="shared" si="4"/>
        <v>14</v>
      </c>
      <c r="Y13" s="5">
        <f t="shared" si="5"/>
        <v>93.333333333333329</v>
      </c>
      <c r="Z13" s="5">
        <f t="shared" si="0"/>
        <v>93.333333333333329</v>
      </c>
      <c r="AC13" s="45" t="s">
        <v>79</v>
      </c>
      <c r="AD13" s="45">
        <v>1350</v>
      </c>
      <c r="AE13" s="45">
        <f t="shared" si="6"/>
        <v>5044</v>
      </c>
      <c r="AF13" s="43">
        <f t="shared" si="1"/>
        <v>50.44</v>
      </c>
      <c r="AG13" s="45"/>
      <c r="AH13" s="45">
        <v>175.5</v>
      </c>
      <c r="AI13">
        <f t="shared" si="2"/>
        <v>236925</v>
      </c>
      <c r="AM13" s="91">
        <v>11</v>
      </c>
      <c r="AN13" s="17">
        <v>215</v>
      </c>
      <c r="AO13" s="18">
        <v>4.8</v>
      </c>
      <c r="AP13" s="19">
        <v>4.8</v>
      </c>
      <c r="AQ13" s="20">
        <v>17.399999999999999</v>
      </c>
      <c r="AS13" s="91">
        <v>11</v>
      </c>
      <c r="AT13" s="17">
        <v>215</v>
      </c>
    </row>
    <row r="14" spans="1:48" x14ac:dyDescent="0.4">
      <c r="A14" s="9" t="s">
        <v>10</v>
      </c>
      <c r="B14" s="9">
        <f>SUM(B7:B13)</f>
        <v>150</v>
      </c>
      <c r="C14" s="10">
        <f t="shared" si="8"/>
        <v>100</v>
      </c>
      <c r="M14" s="16">
        <v>5</v>
      </c>
      <c r="N14" s="35">
        <v>8</v>
      </c>
      <c r="O14" s="3"/>
      <c r="P14" s="3"/>
      <c r="Q14" s="16">
        <v>5</v>
      </c>
      <c r="R14" s="35">
        <v>8</v>
      </c>
      <c r="S14" s="38">
        <f t="shared" si="3"/>
        <v>13</v>
      </c>
      <c r="V14" s="1">
        <f t="shared" si="7"/>
        <v>12</v>
      </c>
      <c r="W14">
        <v>0</v>
      </c>
      <c r="X14" s="1">
        <f t="shared" si="4"/>
        <v>14</v>
      </c>
      <c r="Y14" s="5">
        <f t="shared" si="5"/>
        <v>93.333333333333329</v>
      </c>
      <c r="Z14" s="5">
        <f t="shared" si="0"/>
        <v>93.333333333333329</v>
      </c>
      <c r="AC14" s="44" t="s">
        <v>80</v>
      </c>
      <c r="AD14" s="44">
        <v>1420</v>
      </c>
      <c r="AE14">
        <f t="shared" si="6"/>
        <v>6464</v>
      </c>
      <c r="AF14" s="5">
        <f t="shared" si="1"/>
        <v>64.64</v>
      </c>
      <c r="AH14" s="47">
        <v>180.5</v>
      </c>
      <c r="AI14">
        <f t="shared" si="2"/>
        <v>256310</v>
      </c>
      <c r="AM14" s="92">
        <v>12</v>
      </c>
      <c r="AN14" s="90">
        <v>1204</v>
      </c>
      <c r="AO14" s="18">
        <v>26.7</v>
      </c>
      <c r="AP14" s="19">
        <v>26.8</v>
      </c>
      <c r="AQ14" s="20">
        <v>44.1</v>
      </c>
      <c r="AS14" s="92">
        <v>12</v>
      </c>
      <c r="AT14" s="90">
        <v>1204</v>
      </c>
    </row>
    <row r="15" spans="1:48" x14ac:dyDescent="0.4">
      <c r="M15" s="16">
        <v>3</v>
      </c>
      <c r="N15" s="35">
        <v>10</v>
      </c>
      <c r="O15" s="3"/>
      <c r="Q15" s="16">
        <v>3</v>
      </c>
      <c r="R15" s="35">
        <v>10</v>
      </c>
      <c r="S15" s="38">
        <f t="shared" si="3"/>
        <v>14</v>
      </c>
      <c r="V15" s="1">
        <f t="shared" si="7"/>
        <v>13</v>
      </c>
      <c r="W15">
        <v>0</v>
      </c>
      <c r="X15" s="1">
        <f t="shared" si="4"/>
        <v>14</v>
      </c>
      <c r="Y15" s="5">
        <f t="shared" si="5"/>
        <v>93.333333333333329</v>
      </c>
      <c r="Z15" s="5">
        <f t="shared" si="0"/>
        <v>93.333333333333329</v>
      </c>
      <c r="AC15" t="s">
        <v>81</v>
      </c>
      <c r="AD15">
        <v>1169</v>
      </c>
      <c r="AE15">
        <f t="shared" si="6"/>
        <v>7633</v>
      </c>
      <c r="AF15" s="5">
        <f t="shared" si="1"/>
        <v>76.33</v>
      </c>
      <c r="AH15">
        <v>185.5</v>
      </c>
      <c r="AI15">
        <f t="shared" si="2"/>
        <v>216849.5</v>
      </c>
      <c r="AM15" s="91">
        <v>13</v>
      </c>
      <c r="AN15" s="17">
        <v>422</v>
      </c>
      <c r="AO15" s="18">
        <v>9.4</v>
      </c>
      <c r="AP15" s="19">
        <v>9.4</v>
      </c>
      <c r="AQ15" s="20">
        <v>53.5</v>
      </c>
      <c r="AS15" s="91">
        <v>13</v>
      </c>
      <c r="AT15" s="17">
        <v>422</v>
      </c>
    </row>
    <row r="16" spans="1:48" x14ac:dyDescent="0.4">
      <c r="A16" t="s">
        <v>23</v>
      </c>
      <c r="M16" s="36">
        <v>11</v>
      </c>
      <c r="N16" s="37">
        <v>14</v>
      </c>
      <c r="Q16" s="36">
        <v>11</v>
      </c>
      <c r="R16" s="37">
        <v>14</v>
      </c>
      <c r="S16" s="38">
        <f t="shared" si="3"/>
        <v>15</v>
      </c>
      <c r="V16" s="1">
        <f t="shared" si="7"/>
        <v>14</v>
      </c>
      <c r="W16">
        <v>1</v>
      </c>
      <c r="X16" s="4">
        <f t="shared" si="4"/>
        <v>15</v>
      </c>
      <c r="Y16" s="5">
        <f t="shared" si="5"/>
        <v>100</v>
      </c>
      <c r="Z16" s="5">
        <f t="shared" si="0"/>
        <v>100</v>
      </c>
      <c r="AC16" t="s">
        <v>82</v>
      </c>
      <c r="AD16">
        <v>838</v>
      </c>
      <c r="AE16">
        <f t="shared" si="6"/>
        <v>8471</v>
      </c>
      <c r="AF16" s="5">
        <f t="shared" si="1"/>
        <v>84.71</v>
      </c>
      <c r="AH16">
        <v>191</v>
      </c>
      <c r="AI16">
        <f t="shared" si="2"/>
        <v>160058</v>
      </c>
      <c r="AM16" s="91">
        <v>14</v>
      </c>
      <c r="AN16" s="17">
        <v>628</v>
      </c>
      <c r="AO16" s="18">
        <v>13.9</v>
      </c>
      <c r="AP16" s="19">
        <v>14</v>
      </c>
      <c r="AQ16" s="20">
        <v>67.5</v>
      </c>
      <c r="AS16" s="91">
        <v>14</v>
      </c>
      <c r="AT16" s="17">
        <v>628</v>
      </c>
    </row>
    <row r="17" spans="1:46" x14ac:dyDescent="0.4">
      <c r="A17" s="3" t="s">
        <v>24</v>
      </c>
      <c r="B17" s="3" t="s">
        <v>5</v>
      </c>
      <c r="L17" t="s">
        <v>57</v>
      </c>
      <c r="M17">
        <v>15</v>
      </c>
      <c r="N17" s="4">
        <f>SUM(N2:N16)</f>
        <v>81</v>
      </c>
      <c r="V17" t="s">
        <v>57</v>
      </c>
      <c r="W17" s="4">
        <f>SUM(W2:W16)</f>
        <v>15</v>
      </c>
      <c r="AC17" t="s">
        <v>83</v>
      </c>
      <c r="AD17">
        <v>675</v>
      </c>
      <c r="AE17">
        <f t="shared" si="6"/>
        <v>9146</v>
      </c>
      <c r="AF17" s="5">
        <f t="shared" si="1"/>
        <v>91.46</v>
      </c>
      <c r="AH17">
        <v>196.5</v>
      </c>
      <c r="AI17">
        <f t="shared" si="2"/>
        <v>132637.5</v>
      </c>
      <c r="AM17" s="91">
        <v>15</v>
      </c>
      <c r="AN17" s="17">
        <v>212</v>
      </c>
      <c r="AO17" s="18">
        <v>4.7</v>
      </c>
      <c r="AP17" s="19">
        <v>4.7</v>
      </c>
      <c r="AQ17" s="20">
        <v>72.2</v>
      </c>
      <c r="AS17" s="91">
        <v>15</v>
      </c>
      <c r="AT17" s="17">
        <v>212</v>
      </c>
    </row>
    <row r="18" spans="1:46" x14ac:dyDescent="0.4">
      <c r="A18" t="s">
        <v>25</v>
      </c>
      <c r="B18">
        <v>15</v>
      </c>
      <c r="Q18" t="s">
        <v>11</v>
      </c>
      <c r="R18" t="s">
        <v>61</v>
      </c>
      <c r="S18">
        <v>8</v>
      </c>
      <c r="AC18" t="s">
        <v>84</v>
      </c>
      <c r="AD18">
        <v>376</v>
      </c>
      <c r="AE18">
        <f t="shared" si="6"/>
        <v>9522</v>
      </c>
      <c r="AF18" s="5">
        <f t="shared" si="1"/>
        <v>95.22</v>
      </c>
      <c r="AH18">
        <v>201.5</v>
      </c>
      <c r="AI18">
        <f t="shared" si="2"/>
        <v>75764</v>
      </c>
      <c r="AM18" s="91">
        <v>16</v>
      </c>
      <c r="AN18" s="17">
        <v>687</v>
      </c>
      <c r="AO18" s="18">
        <v>15.2</v>
      </c>
      <c r="AP18" s="19">
        <v>15.3</v>
      </c>
      <c r="AQ18" s="20">
        <v>87.4</v>
      </c>
      <c r="AS18" s="91">
        <v>16</v>
      </c>
      <c r="AT18" s="17">
        <v>687</v>
      </c>
    </row>
    <row r="19" spans="1:46" x14ac:dyDescent="0.4">
      <c r="A19" t="s">
        <v>27</v>
      </c>
      <c r="B19">
        <v>23</v>
      </c>
      <c r="M19" t="s">
        <v>137</v>
      </c>
      <c r="N19" s="3">
        <f>N17/M17</f>
        <v>5.4</v>
      </c>
      <c r="Q19" s="3" t="s">
        <v>62</v>
      </c>
      <c r="R19" s="3"/>
      <c r="S19" s="3">
        <v>5</v>
      </c>
      <c r="AC19" t="s">
        <v>85</v>
      </c>
      <c r="AD19">
        <v>250</v>
      </c>
      <c r="AE19">
        <f t="shared" si="6"/>
        <v>9772</v>
      </c>
      <c r="AF19" s="5">
        <f t="shared" si="1"/>
        <v>97.72</v>
      </c>
      <c r="AH19">
        <v>206.5</v>
      </c>
      <c r="AI19">
        <f t="shared" si="2"/>
        <v>51625</v>
      </c>
      <c r="AM19" s="91">
        <v>17</v>
      </c>
      <c r="AN19" s="17">
        <v>167</v>
      </c>
      <c r="AO19" s="18">
        <v>3.7</v>
      </c>
      <c r="AP19" s="19">
        <v>3.7</v>
      </c>
      <c r="AQ19" s="20">
        <v>91.2</v>
      </c>
      <c r="AS19" s="91">
        <v>17</v>
      </c>
      <c r="AT19" s="17">
        <v>167</v>
      </c>
    </row>
    <row r="20" spans="1:46" x14ac:dyDescent="0.4">
      <c r="A20" t="s">
        <v>26</v>
      </c>
      <c r="B20">
        <v>12</v>
      </c>
      <c r="AC20" t="s">
        <v>86</v>
      </c>
      <c r="AD20">
        <v>130</v>
      </c>
      <c r="AE20">
        <f t="shared" si="6"/>
        <v>9902</v>
      </c>
      <c r="AF20" s="5">
        <f t="shared" si="1"/>
        <v>99.02</v>
      </c>
      <c r="AH20">
        <v>211.5</v>
      </c>
      <c r="AI20">
        <f t="shared" si="2"/>
        <v>27495</v>
      </c>
      <c r="AM20" s="91">
        <v>18</v>
      </c>
      <c r="AN20" s="17">
        <v>208</v>
      </c>
      <c r="AO20" s="18">
        <v>4.5999999999999996</v>
      </c>
      <c r="AP20" s="19">
        <v>4.5999999999999996</v>
      </c>
      <c r="AQ20" s="20">
        <v>95.8</v>
      </c>
      <c r="AS20" s="91">
        <v>18</v>
      </c>
      <c r="AT20" s="17">
        <v>208</v>
      </c>
    </row>
    <row r="21" spans="1:46" x14ac:dyDescent="0.4">
      <c r="A21" t="s">
        <v>10</v>
      </c>
      <c r="B21">
        <f>SUM(B18:B20)</f>
        <v>50</v>
      </c>
      <c r="Q21" s="3" t="s">
        <v>9</v>
      </c>
      <c r="R21" s="3">
        <f>SUM(R2:R16)/15</f>
        <v>5.4</v>
      </c>
      <c r="AC21" t="s">
        <v>87</v>
      </c>
      <c r="AD21">
        <v>60</v>
      </c>
      <c r="AE21">
        <f t="shared" si="6"/>
        <v>9962</v>
      </c>
      <c r="AF21" s="5">
        <f t="shared" si="1"/>
        <v>99.62</v>
      </c>
      <c r="AH21">
        <v>216.5</v>
      </c>
      <c r="AI21">
        <f t="shared" si="2"/>
        <v>12990</v>
      </c>
      <c r="AM21" s="91">
        <v>19</v>
      </c>
      <c r="AN21" s="17">
        <v>78</v>
      </c>
      <c r="AO21" s="18">
        <v>1.7</v>
      </c>
      <c r="AP21" s="19">
        <v>1.7</v>
      </c>
      <c r="AQ21" s="20">
        <v>97.5</v>
      </c>
      <c r="AS21" s="91">
        <v>19</v>
      </c>
      <c r="AT21" s="17">
        <v>78</v>
      </c>
    </row>
    <row r="22" spans="1:46" x14ac:dyDescent="0.4">
      <c r="F22" s="11"/>
      <c r="Q22" s="3"/>
      <c r="R22" s="3">
        <v>14</v>
      </c>
      <c r="AC22" t="s">
        <v>88</v>
      </c>
      <c r="AD22">
        <v>25</v>
      </c>
      <c r="AE22">
        <f t="shared" si="6"/>
        <v>9987</v>
      </c>
      <c r="AF22" s="5">
        <f t="shared" si="1"/>
        <v>99.87</v>
      </c>
      <c r="AH22">
        <v>221.5</v>
      </c>
      <c r="AI22">
        <f t="shared" si="2"/>
        <v>5537.5</v>
      </c>
      <c r="AM22" s="93">
        <v>20</v>
      </c>
      <c r="AN22" s="23">
        <v>112</v>
      </c>
      <c r="AO22" s="24">
        <v>2.5</v>
      </c>
      <c r="AP22" s="25">
        <v>2.5</v>
      </c>
      <c r="AQ22" s="26">
        <v>100</v>
      </c>
      <c r="AS22" s="93">
        <v>20</v>
      </c>
      <c r="AT22" s="23">
        <v>112</v>
      </c>
    </row>
    <row r="23" spans="1:46" x14ac:dyDescent="0.4">
      <c r="A23" t="s">
        <v>28</v>
      </c>
      <c r="B23" t="s">
        <v>5</v>
      </c>
      <c r="E23" s="11" t="s">
        <v>39</v>
      </c>
      <c r="F23" s="11" t="s">
        <v>5</v>
      </c>
      <c r="G23" t="s">
        <v>46</v>
      </c>
      <c r="H23" t="s">
        <v>47</v>
      </c>
      <c r="AC23" t="s">
        <v>89</v>
      </c>
      <c r="AD23">
        <v>9</v>
      </c>
      <c r="AE23">
        <f t="shared" si="6"/>
        <v>9996</v>
      </c>
      <c r="AF23" s="5">
        <f t="shared" si="1"/>
        <v>99.960000000000008</v>
      </c>
      <c r="AH23">
        <v>226.5</v>
      </c>
      <c r="AI23">
        <f t="shared" si="2"/>
        <v>2038.5</v>
      </c>
      <c r="AM23" s="82" t="s">
        <v>53</v>
      </c>
      <c r="AN23" s="27">
        <v>4499</v>
      </c>
      <c r="AO23" s="28">
        <v>99.8</v>
      </c>
      <c r="AP23" s="29">
        <v>100</v>
      </c>
      <c r="AQ23" s="83"/>
      <c r="AS23" s="82" t="s">
        <v>53</v>
      </c>
      <c r="AT23" s="27">
        <v>4499</v>
      </c>
    </row>
    <row r="24" spans="1:46" x14ac:dyDescent="0.4">
      <c r="A24" t="s">
        <v>29</v>
      </c>
      <c r="B24">
        <v>20</v>
      </c>
      <c r="E24" s="9" t="s">
        <v>32</v>
      </c>
      <c r="F24" s="9">
        <v>4</v>
      </c>
      <c r="G24">
        <f>F24</f>
        <v>4</v>
      </c>
      <c r="Q24" s="3" t="s">
        <v>12</v>
      </c>
      <c r="R24" s="3">
        <v>5</v>
      </c>
      <c r="AC24" t="s">
        <v>90</v>
      </c>
      <c r="AD24">
        <v>3</v>
      </c>
      <c r="AE24">
        <f t="shared" si="6"/>
        <v>9999</v>
      </c>
      <c r="AF24" s="5">
        <f t="shared" si="1"/>
        <v>99.99</v>
      </c>
      <c r="AH24">
        <v>231.5</v>
      </c>
      <c r="AI24">
        <f t="shared" si="2"/>
        <v>694.5</v>
      </c>
      <c r="AM24" s="84" t="s">
        <v>129</v>
      </c>
      <c r="AN24" s="17">
        <v>2</v>
      </c>
      <c r="AO24" s="18">
        <v>0</v>
      </c>
      <c r="AP24" s="85"/>
      <c r="AQ24" s="86"/>
    </row>
    <row r="25" spans="1:46" x14ac:dyDescent="0.4">
      <c r="A25" t="s">
        <v>30</v>
      </c>
      <c r="B25">
        <v>22</v>
      </c>
      <c r="E25" s="9" t="s">
        <v>33</v>
      </c>
      <c r="F25" s="9">
        <v>12</v>
      </c>
      <c r="G25">
        <f t="shared" ref="G25:G30" si="9">F25+G24</f>
        <v>16</v>
      </c>
      <c r="AC25" t="s">
        <v>91</v>
      </c>
      <c r="AD25">
        <v>1</v>
      </c>
      <c r="AE25">
        <f t="shared" si="6"/>
        <v>10000</v>
      </c>
      <c r="AF25" s="5">
        <f t="shared" si="1"/>
        <v>100</v>
      </c>
      <c r="AH25">
        <v>236.5</v>
      </c>
      <c r="AI25">
        <f t="shared" si="2"/>
        <v>236.5</v>
      </c>
      <c r="AM25" s="87" t="s">
        <v>119</v>
      </c>
      <c r="AN25" s="23">
        <v>9</v>
      </c>
      <c r="AO25" s="24">
        <v>0.2</v>
      </c>
      <c r="AP25" s="88"/>
      <c r="AQ25" s="89"/>
    </row>
    <row r="26" spans="1:46" x14ac:dyDescent="0.4">
      <c r="A26" t="s">
        <v>31</v>
      </c>
      <c r="B26">
        <v>3</v>
      </c>
      <c r="E26" s="9" t="s">
        <v>34</v>
      </c>
      <c r="F26" s="9">
        <v>15</v>
      </c>
      <c r="G26">
        <f t="shared" si="9"/>
        <v>31</v>
      </c>
      <c r="AC26" t="s">
        <v>10</v>
      </c>
      <c r="AD26">
        <f>SUM(AD2:AD25)</f>
        <v>10000</v>
      </c>
    </row>
    <row r="27" spans="1:46" x14ac:dyDescent="0.4">
      <c r="A27" t="s">
        <v>32</v>
      </c>
      <c r="E27" s="9" t="s">
        <v>35</v>
      </c>
      <c r="F27" s="9">
        <v>26</v>
      </c>
      <c r="G27">
        <f t="shared" si="9"/>
        <v>57</v>
      </c>
      <c r="AH27" t="s">
        <v>95</v>
      </c>
      <c r="AI27">
        <f>SUM(AI2:AI25)</f>
        <v>1779559.5</v>
      </c>
    </row>
    <row r="28" spans="1:46" x14ac:dyDescent="0.4">
      <c r="E28" s="9" t="s">
        <v>36</v>
      </c>
      <c r="F28" s="9">
        <v>20</v>
      </c>
      <c r="G28">
        <f t="shared" si="9"/>
        <v>77</v>
      </c>
      <c r="AC28" t="s">
        <v>97</v>
      </c>
      <c r="AD28" s="3">
        <v>175.5</v>
      </c>
      <c r="AH28" t="s">
        <v>96</v>
      </c>
      <c r="AI28" s="46">
        <f>AI27/AD26</f>
        <v>177.95595</v>
      </c>
    </row>
    <row r="29" spans="1:46" x14ac:dyDescent="0.4">
      <c r="E29" s="9" t="s">
        <v>37</v>
      </c>
      <c r="F29" s="9">
        <v>14</v>
      </c>
      <c r="G29">
        <f t="shared" si="9"/>
        <v>91</v>
      </c>
    </row>
    <row r="30" spans="1:46" x14ac:dyDescent="0.4">
      <c r="E30" s="9" t="s">
        <v>38</v>
      </c>
      <c r="F30" s="9">
        <v>9</v>
      </c>
      <c r="G30">
        <f t="shared" si="9"/>
        <v>100</v>
      </c>
      <c r="AC30" t="s">
        <v>56</v>
      </c>
      <c r="AD30" s="3">
        <v>180.5</v>
      </c>
    </row>
    <row r="31" spans="1:46" x14ac:dyDescent="0.4">
      <c r="E31" s="11" t="s">
        <v>10</v>
      </c>
      <c r="F31" s="11">
        <f ca="1">SUM(F24:F31)</f>
        <v>100</v>
      </c>
    </row>
    <row r="35" spans="2:34" x14ac:dyDescent="0.4">
      <c r="E35" s="3" t="s">
        <v>45</v>
      </c>
      <c r="F35" s="3" t="s">
        <v>5</v>
      </c>
      <c r="G35" t="s">
        <v>46</v>
      </c>
      <c r="H35" t="s">
        <v>21</v>
      </c>
    </row>
    <row r="36" spans="2:34" x14ac:dyDescent="0.4">
      <c r="E36" t="s">
        <v>43</v>
      </c>
      <c r="F36">
        <v>7</v>
      </c>
      <c r="G36">
        <f>F36</f>
        <v>7</v>
      </c>
      <c r="H36" s="2">
        <f>G36/$F$41*100</f>
        <v>15.909090909090908</v>
      </c>
    </row>
    <row r="37" spans="2:34" x14ac:dyDescent="0.4">
      <c r="E37" t="s">
        <v>41</v>
      </c>
      <c r="F37">
        <v>10</v>
      </c>
      <c r="G37">
        <f>F37+G36</f>
        <v>17</v>
      </c>
      <c r="H37" s="2">
        <f>G37/$F$41*100</f>
        <v>38.636363636363633</v>
      </c>
    </row>
    <row r="38" spans="2:34" ht="36" x14ac:dyDescent="0.4">
      <c r="E38" t="s">
        <v>42</v>
      </c>
      <c r="F38">
        <v>11</v>
      </c>
      <c r="G38">
        <f>F38+G37</f>
        <v>28</v>
      </c>
      <c r="H38" s="2">
        <f>G38/$F$41*100</f>
        <v>63.636363636363633</v>
      </c>
      <c r="R38" s="48" t="s">
        <v>98</v>
      </c>
      <c r="S38" s="12" t="s">
        <v>48</v>
      </c>
      <c r="T38" s="12" t="s">
        <v>49</v>
      </c>
      <c r="U38" s="13" t="s">
        <v>50</v>
      </c>
      <c r="V38" s="14" t="s">
        <v>51</v>
      </c>
      <c r="Z38" s="68"/>
      <c r="AA38" s="31"/>
      <c r="AB38" s="74"/>
      <c r="AC38" s="75" t="s">
        <v>48</v>
      </c>
      <c r="AD38" s="137" t="s">
        <v>49</v>
      </c>
      <c r="AE38" s="137"/>
      <c r="AF38" s="76" t="s">
        <v>50</v>
      </c>
      <c r="AG38" s="72" t="s">
        <v>51</v>
      </c>
      <c r="AH38" s="69"/>
    </row>
    <row r="39" spans="2:34" ht="72" customHeight="1" x14ac:dyDescent="0.4">
      <c r="E39" t="s">
        <v>44</v>
      </c>
      <c r="F39">
        <v>8</v>
      </c>
      <c r="G39">
        <f>F39+G38</f>
        <v>36</v>
      </c>
      <c r="H39" s="2">
        <f>G39/$F$41*100</f>
        <v>81.818181818181827</v>
      </c>
      <c r="R39" s="16">
        <v>0</v>
      </c>
      <c r="S39" s="17">
        <v>1</v>
      </c>
      <c r="T39" s="18">
        <v>6.7</v>
      </c>
      <c r="U39" s="19">
        <v>6.7</v>
      </c>
      <c r="V39" s="20">
        <v>6.7</v>
      </c>
      <c r="Z39" s="70" t="s">
        <v>120</v>
      </c>
      <c r="AA39" s="71"/>
      <c r="AB39" s="77"/>
      <c r="AC39" s="78" t="s">
        <v>121</v>
      </c>
      <c r="AD39" s="138" t="s">
        <v>122</v>
      </c>
      <c r="AE39" s="138"/>
      <c r="AF39" s="78" t="s">
        <v>122</v>
      </c>
      <c r="AG39" s="139" t="s">
        <v>123</v>
      </c>
      <c r="AH39" s="139"/>
    </row>
    <row r="40" spans="2:34" x14ac:dyDescent="0.4">
      <c r="E40" t="s">
        <v>40</v>
      </c>
      <c r="F40">
        <v>8</v>
      </c>
      <c r="G40">
        <f>F40+G39</f>
        <v>44</v>
      </c>
      <c r="H40" s="2">
        <f>G40/$F$41*100</f>
        <v>100</v>
      </c>
      <c r="R40" s="16">
        <v>2</v>
      </c>
      <c r="S40" s="17">
        <v>1</v>
      </c>
      <c r="T40" s="18">
        <v>6.7</v>
      </c>
      <c r="U40" s="19">
        <v>6.7</v>
      </c>
      <c r="V40" s="20">
        <v>13.3</v>
      </c>
      <c r="Z40" s="133"/>
      <c r="AA40" s="134"/>
      <c r="AB40" s="73" t="s">
        <v>53</v>
      </c>
      <c r="AC40" s="17">
        <v>50</v>
      </c>
      <c r="AD40" s="135">
        <v>100</v>
      </c>
      <c r="AE40" s="136"/>
      <c r="AF40" s="62">
        <v>100</v>
      </c>
      <c r="AG40" s="30"/>
      <c r="AH40" s="21"/>
    </row>
    <row r="41" spans="2:34" x14ac:dyDescent="0.4">
      <c r="E41" t="s">
        <v>10</v>
      </c>
      <c r="F41">
        <f>SUM(F36:F40)</f>
        <v>44</v>
      </c>
      <c r="R41" s="16">
        <v>3</v>
      </c>
      <c r="S41" s="17">
        <v>2</v>
      </c>
      <c r="T41" s="18">
        <v>13.3</v>
      </c>
      <c r="U41" s="19">
        <v>13.3</v>
      </c>
      <c r="V41" s="20">
        <v>26.7</v>
      </c>
    </row>
    <row r="42" spans="2:34" x14ac:dyDescent="0.4">
      <c r="R42" s="16">
        <v>4</v>
      </c>
      <c r="S42" s="17">
        <v>2</v>
      </c>
      <c r="T42" s="18">
        <v>13.3</v>
      </c>
      <c r="U42" s="19">
        <v>13.3</v>
      </c>
      <c r="V42" s="20">
        <v>40</v>
      </c>
    </row>
    <row r="43" spans="2:34" x14ac:dyDescent="0.4">
      <c r="E43" t="s">
        <v>12</v>
      </c>
      <c r="F43" t="s">
        <v>134</v>
      </c>
      <c r="R43" s="16">
        <v>5</v>
      </c>
      <c r="S43" s="17">
        <v>4</v>
      </c>
      <c r="T43" s="18">
        <v>26.7</v>
      </c>
      <c r="U43" s="19">
        <v>26.7</v>
      </c>
      <c r="V43" s="20">
        <v>66.7</v>
      </c>
    </row>
    <row r="44" spans="2:34" x14ac:dyDescent="0.4">
      <c r="E44" t="s">
        <v>11</v>
      </c>
      <c r="F44" t="s">
        <v>134</v>
      </c>
      <c r="R44" s="16">
        <v>6</v>
      </c>
      <c r="S44" s="17">
        <v>1</v>
      </c>
      <c r="T44" s="18">
        <v>6.7</v>
      </c>
      <c r="U44" s="19">
        <v>6.7</v>
      </c>
      <c r="V44" s="20">
        <v>73.3</v>
      </c>
      <c r="Z44" t="s">
        <v>124</v>
      </c>
      <c r="AA44" t="s">
        <v>5</v>
      </c>
      <c r="AB44" t="s">
        <v>125</v>
      </c>
      <c r="AC44" t="s">
        <v>126</v>
      </c>
      <c r="AD44" t="s">
        <v>127</v>
      </c>
    </row>
    <row r="45" spans="2:34" x14ac:dyDescent="0.4">
      <c r="R45" s="16">
        <v>7</v>
      </c>
      <c r="S45" s="17">
        <v>1</v>
      </c>
      <c r="T45" s="18">
        <v>6.7</v>
      </c>
      <c r="U45" s="19">
        <v>6.7</v>
      </c>
      <c r="V45" s="20">
        <v>80</v>
      </c>
      <c r="Z45">
        <v>0</v>
      </c>
      <c r="AA45">
        <v>4</v>
      </c>
      <c r="AB45">
        <f t="shared" ref="AB45:AB50" si="10">AA45/$AA$51*100</f>
        <v>8</v>
      </c>
      <c r="AC45">
        <f>AB45</f>
        <v>8</v>
      </c>
      <c r="AD45">
        <f t="shared" ref="AD45:AD50" si="11">Z45*AA45</f>
        <v>0</v>
      </c>
    </row>
    <row r="46" spans="2:34" x14ac:dyDescent="0.4">
      <c r="R46" s="16">
        <v>8</v>
      </c>
      <c r="S46" s="17">
        <v>1</v>
      </c>
      <c r="T46" s="18">
        <v>6.7</v>
      </c>
      <c r="U46" s="19">
        <v>6.7</v>
      </c>
      <c r="V46" s="20">
        <v>86.7</v>
      </c>
      <c r="Z46">
        <v>1</v>
      </c>
      <c r="AA46">
        <v>15</v>
      </c>
      <c r="AB46" s="3">
        <f t="shared" si="10"/>
        <v>30</v>
      </c>
      <c r="AC46">
        <f>AB46+AC45</f>
        <v>38</v>
      </c>
      <c r="AD46">
        <f t="shared" si="11"/>
        <v>15</v>
      </c>
    </row>
    <row r="47" spans="2:34" x14ac:dyDescent="0.4">
      <c r="R47" s="16">
        <v>10</v>
      </c>
      <c r="S47" s="17">
        <v>1</v>
      </c>
      <c r="T47" s="18">
        <v>6.7</v>
      </c>
      <c r="U47" s="19">
        <v>6.7</v>
      </c>
      <c r="V47" s="20">
        <v>93.3</v>
      </c>
      <c r="Z47" s="3">
        <v>2</v>
      </c>
      <c r="AA47">
        <v>11</v>
      </c>
      <c r="AB47">
        <f t="shared" si="10"/>
        <v>22</v>
      </c>
      <c r="AC47" s="3">
        <f>AB47+AC46</f>
        <v>60</v>
      </c>
      <c r="AD47">
        <f t="shared" si="11"/>
        <v>22</v>
      </c>
    </row>
    <row r="48" spans="2:34" ht="36" x14ac:dyDescent="0.4">
      <c r="B48" s="31"/>
      <c r="C48" s="32" t="s">
        <v>130</v>
      </c>
      <c r="D48" s="94" t="s">
        <v>131</v>
      </c>
      <c r="E48" s="94" t="s">
        <v>132</v>
      </c>
      <c r="F48" s="95" t="s">
        <v>133</v>
      </c>
      <c r="R48" s="22">
        <v>14</v>
      </c>
      <c r="S48" s="23">
        <v>1</v>
      </c>
      <c r="T48" s="24">
        <v>6.7</v>
      </c>
      <c r="U48" s="25">
        <v>6.7</v>
      </c>
      <c r="V48" s="26">
        <v>100</v>
      </c>
      <c r="Z48">
        <v>3</v>
      </c>
      <c r="AA48">
        <v>8</v>
      </c>
      <c r="AB48">
        <f t="shared" si="10"/>
        <v>16</v>
      </c>
      <c r="AC48">
        <f>AB48+AC47</f>
        <v>76</v>
      </c>
      <c r="AD48">
        <f t="shared" si="11"/>
        <v>24</v>
      </c>
    </row>
    <row r="49" spans="1:30" x14ac:dyDescent="0.4">
      <c r="B49" s="15"/>
      <c r="C49" s="16">
        <v>0</v>
      </c>
      <c r="D49" s="17">
        <v>1</v>
      </c>
      <c r="E49" s="18">
        <v>6.7</v>
      </c>
      <c r="F49" s="20">
        <v>6.7</v>
      </c>
      <c r="R49" s="49" t="s">
        <v>10</v>
      </c>
      <c r="S49" s="27">
        <v>15</v>
      </c>
      <c r="T49" s="28">
        <v>100</v>
      </c>
      <c r="U49" s="29">
        <v>100</v>
      </c>
      <c r="V49" s="30"/>
      <c r="Z49">
        <v>4</v>
      </c>
      <c r="AA49">
        <v>6</v>
      </c>
      <c r="AB49">
        <f t="shared" si="10"/>
        <v>12</v>
      </c>
      <c r="AC49">
        <f>AB49+AC48</f>
        <v>88</v>
      </c>
      <c r="AD49">
        <f t="shared" si="11"/>
        <v>24</v>
      </c>
    </row>
    <row r="50" spans="1:30" x14ac:dyDescent="0.4">
      <c r="B50" s="21"/>
      <c r="C50" s="16">
        <v>2</v>
      </c>
      <c r="D50" s="17">
        <v>1</v>
      </c>
      <c r="E50" s="18">
        <v>6.7</v>
      </c>
      <c r="F50" s="20">
        <v>13.3</v>
      </c>
      <c r="Z50">
        <v>5</v>
      </c>
      <c r="AA50">
        <v>6</v>
      </c>
      <c r="AB50">
        <f t="shared" si="10"/>
        <v>12</v>
      </c>
      <c r="AC50">
        <f>AB50+AC49</f>
        <v>100</v>
      </c>
      <c r="AD50">
        <f t="shared" si="11"/>
        <v>30</v>
      </c>
    </row>
    <row r="51" spans="1:30" ht="26.15" customHeight="1" x14ac:dyDescent="0.4">
      <c r="B51" s="21"/>
      <c r="C51" s="16">
        <v>3</v>
      </c>
      <c r="D51" s="17">
        <v>2</v>
      </c>
      <c r="E51" s="18">
        <v>13.3</v>
      </c>
      <c r="F51" s="20">
        <v>26.7</v>
      </c>
      <c r="R51" s="50" t="s">
        <v>99</v>
      </c>
      <c r="S51" s="51" t="s">
        <v>48</v>
      </c>
      <c r="T51" s="52" t="s">
        <v>100</v>
      </c>
      <c r="Z51" t="s">
        <v>10</v>
      </c>
      <c r="AA51">
        <v>50</v>
      </c>
      <c r="AC51" t="s">
        <v>95</v>
      </c>
      <c r="AD51">
        <f>SUM(AD45:AD50)</f>
        <v>115</v>
      </c>
    </row>
    <row r="52" spans="1:30" x14ac:dyDescent="0.4">
      <c r="B52" s="21"/>
      <c r="C52" s="16">
        <v>4</v>
      </c>
      <c r="D52" s="17">
        <v>2</v>
      </c>
      <c r="E52" s="18">
        <v>13.3</v>
      </c>
      <c r="F52" s="20">
        <v>40</v>
      </c>
      <c r="R52" s="53">
        <v>0</v>
      </c>
      <c r="S52" s="17">
        <v>1</v>
      </c>
      <c r="T52" s="54" t="s">
        <v>101</v>
      </c>
      <c r="AC52" t="s">
        <v>9</v>
      </c>
      <c r="AD52" s="3">
        <f>AD51/AA51</f>
        <v>2.2999999999999998</v>
      </c>
    </row>
    <row r="53" spans="1:30" x14ac:dyDescent="0.4">
      <c r="B53" s="21"/>
      <c r="C53" s="16">
        <v>5</v>
      </c>
      <c r="D53" s="17">
        <v>4</v>
      </c>
      <c r="E53" s="18">
        <v>26.7</v>
      </c>
      <c r="F53" s="20">
        <v>66.7</v>
      </c>
      <c r="R53" s="53">
        <v>2</v>
      </c>
      <c r="S53" s="17">
        <v>1</v>
      </c>
      <c r="T53" s="54" t="s">
        <v>102</v>
      </c>
      <c r="AA53" s="3" t="s">
        <v>11</v>
      </c>
      <c r="AB53" s="3">
        <v>2</v>
      </c>
    </row>
    <row r="54" spans="1:30" x14ac:dyDescent="0.4">
      <c r="B54" s="21"/>
      <c r="C54" s="16">
        <v>6</v>
      </c>
      <c r="D54" s="17">
        <v>1</v>
      </c>
      <c r="E54" s="18">
        <v>6.7</v>
      </c>
      <c r="F54" s="20">
        <v>73.3</v>
      </c>
      <c r="R54" s="53">
        <v>3</v>
      </c>
      <c r="S54" s="17">
        <v>2</v>
      </c>
      <c r="T54" s="54" t="s">
        <v>103</v>
      </c>
      <c r="AA54" s="3" t="s">
        <v>12</v>
      </c>
      <c r="AB54" s="3">
        <v>1</v>
      </c>
    </row>
    <row r="55" spans="1:30" x14ac:dyDescent="0.4">
      <c r="B55" s="21"/>
      <c r="C55" s="16">
        <v>7</v>
      </c>
      <c r="D55" s="17">
        <v>1</v>
      </c>
      <c r="E55" s="18">
        <v>6.7</v>
      </c>
      <c r="F55" s="20">
        <v>80</v>
      </c>
      <c r="R55" s="53">
        <v>4</v>
      </c>
      <c r="S55" s="17">
        <v>2</v>
      </c>
      <c r="T55" s="54" t="s">
        <v>104</v>
      </c>
    </row>
    <row r="56" spans="1:30" x14ac:dyDescent="0.4">
      <c r="B56" s="21"/>
      <c r="C56" s="16">
        <v>8</v>
      </c>
      <c r="D56" s="17">
        <v>1</v>
      </c>
      <c r="E56" s="18">
        <v>6.7</v>
      </c>
      <c r="F56" s="20">
        <v>86.7</v>
      </c>
      <c r="R56" s="53">
        <v>5</v>
      </c>
      <c r="S56" s="17">
        <v>4</v>
      </c>
      <c r="T56" s="55" t="s">
        <v>105</v>
      </c>
    </row>
    <row r="57" spans="1:30" x14ac:dyDescent="0.4">
      <c r="B57" s="21"/>
      <c r="C57" s="16">
        <v>10</v>
      </c>
      <c r="D57" s="17">
        <v>1</v>
      </c>
      <c r="E57" s="18">
        <v>6.7</v>
      </c>
      <c r="F57" s="20">
        <v>93.3</v>
      </c>
      <c r="R57" s="53">
        <v>6</v>
      </c>
      <c r="S57" s="17">
        <v>1</v>
      </c>
      <c r="T57" s="54" t="s">
        <v>106</v>
      </c>
    </row>
    <row r="58" spans="1:30" x14ac:dyDescent="0.4">
      <c r="B58" s="21"/>
      <c r="C58" s="22">
        <v>14</v>
      </c>
      <c r="D58" s="23">
        <v>1</v>
      </c>
      <c r="E58" s="24">
        <v>6.7</v>
      </c>
      <c r="F58" s="26">
        <v>100</v>
      </c>
      <c r="R58" s="53">
        <v>7</v>
      </c>
      <c r="S58" s="17">
        <v>1</v>
      </c>
      <c r="T58" s="54" t="s">
        <v>107</v>
      </c>
    </row>
    <row r="59" spans="1:30" ht="24" customHeight="1" x14ac:dyDescent="0.4">
      <c r="C59" s="58" t="s">
        <v>53</v>
      </c>
      <c r="D59" s="27">
        <v>15</v>
      </c>
      <c r="E59" s="28">
        <v>100</v>
      </c>
      <c r="F59" s="30"/>
      <c r="R59" s="53">
        <v>8</v>
      </c>
      <c r="S59" s="17">
        <v>1</v>
      </c>
      <c r="T59" s="54" t="s">
        <v>108</v>
      </c>
    </row>
    <row r="60" spans="1:30" x14ac:dyDescent="0.4">
      <c r="R60" s="53">
        <v>10</v>
      </c>
      <c r="S60" s="17">
        <v>1</v>
      </c>
      <c r="T60" s="55" t="s">
        <v>109</v>
      </c>
    </row>
    <row r="61" spans="1:30" x14ac:dyDescent="0.4">
      <c r="R61" s="56">
        <v>14</v>
      </c>
      <c r="S61" s="23">
        <v>1</v>
      </c>
      <c r="T61" s="57" t="s">
        <v>110</v>
      </c>
    </row>
    <row r="62" spans="1:30" ht="36" x14ac:dyDescent="0.4">
      <c r="A62" s="96"/>
      <c r="B62" s="32"/>
      <c r="C62" s="60" t="s">
        <v>48</v>
      </c>
      <c r="D62" s="60" t="s">
        <v>49</v>
      </c>
      <c r="E62" s="121" t="s">
        <v>50</v>
      </c>
      <c r="F62" s="122"/>
      <c r="G62" s="14" t="s">
        <v>51</v>
      </c>
      <c r="R62" s="58" t="s">
        <v>53</v>
      </c>
      <c r="S62" s="27">
        <v>15</v>
      </c>
      <c r="T62" s="59" t="s">
        <v>111</v>
      </c>
    </row>
    <row r="63" spans="1:30" ht="24" x14ac:dyDescent="0.4">
      <c r="A63" s="15" t="s">
        <v>52</v>
      </c>
      <c r="B63" s="61" t="s">
        <v>113</v>
      </c>
      <c r="C63" s="17">
        <v>691</v>
      </c>
      <c r="D63" s="62">
        <v>15.3</v>
      </c>
      <c r="E63" s="123">
        <v>15.3</v>
      </c>
      <c r="F63" s="124"/>
      <c r="G63" s="20">
        <v>15.3</v>
      </c>
    </row>
    <row r="64" spans="1:30" ht="24" x14ac:dyDescent="0.4">
      <c r="A64" s="21"/>
      <c r="B64" s="61" t="s">
        <v>114</v>
      </c>
      <c r="C64" s="17">
        <v>2273</v>
      </c>
      <c r="D64" s="62">
        <v>50.4</v>
      </c>
      <c r="E64" s="123">
        <v>50.4</v>
      </c>
      <c r="F64" s="124"/>
      <c r="G64" s="20">
        <v>65.8</v>
      </c>
      <c r="S64" t="s">
        <v>112</v>
      </c>
      <c r="T64" s="3">
        <f>81/15</f>
        <v>5.4</v>
      </c>
    </row>
    <row r="65" spans="1:7" ht="24" x14ac:dyDescent="0.4">
      <c r="A65" s="21"/>
      <c r="B65" s="61" t="s">
        <v>115</v>
      </c>
      <c r="C65" s="17">
        <v>377</v>
      </c>
      <c r="D65" s="18">
        <v>8.4</v>
      </c>
      <c r="E65" s="123">
        <v>8.4</v>
      </c>
      <c r="F65" s="124"/>
      <c r="G65" s="20">
        <v>74.099999999999994</v>
      </c>
    </row>
    <row r="66" spans="1:7" x14ac:dyDescent="0.4">
      <c r="A66" s="21"/>
      <c r="B66" s="61" t="s">
        <v>116</v>
      </c>
      <c r="C66" s="17">
        <v>763</v>
      </c>
      <c r="D66" s="62">
        <v>16.899999999999999</v>
      </c>
      <c r="E66" s="123">
        <v>16.899999999999999</v>
      </c>
      <c r="F66" s="124"/>
      <c r="G66" s="20">
        <v>91.1</v>
      </c>
    </row>
    <row r="67" spans="1:7" x14ac:dyDescent="0.4">
      <c r="A67" s="21"/>
      <c r="B67" s="63" t="s">
        <v>117</v>
      </c>
      <c r="C67" s="23">
        <v>403</v>
      </c>
      <c r="D67" s="24">
        <v>8.9</v>
      </c>
      <c r="E67" s="125">
        <v>8.9</v>
      </c>
      <c r="F67" s="126"/>
      <c r="G67" s="26">
        <v>100</v>
      </c>
    </row>
    <row r="68" spans="1:7" x14ac:dyDescent="0.4">
      <c r="A68" s="21"/>
      <c r="B68" s="64" t="s">
        <v>53</v>
      </c>
      <c r="C68" s="27">
        <v>4507</v>
      </c>
      <c r="D68" s="65">
        <v>99.9</v>
      </c>
      <c r="E68" s="127">
        <v>100</v>
      </c>
      <c r="F68" s="128"/>
      <c r="G68" s="129"/>
    </row>
    <row r="69" spans="1:7" x14ac:dyDescent="0.4">
      <c r="A69" s="15" t="s">
        <v>118</v>
      </c>
      <c r="B69" s="61" t="s">
        <v>119</v>
      </c>
      <c r="C69" s="17">
        <v>3</v>
      </c>
      <c r="D69" s="18">
        <v>0.1</v>
      </c>
      <c r="E69" s="131"/>
      <c r="F69" s="132"/>
      <c r="G69" s="130"/>
    </row>
    <row r="70" spans="1:7" x14ac:dyDescent="0.4">
      <c r="A70" s="15" t="s">
        <v>53</v>
      </c>
      <c r="B70" s="66"/>
      <c r="C70" s="17">
        <v>4510</v>
      </c>
      <c r="D70" s="67">
        <v>100</v>
      </c>
      <c r="E70" s="131"/>
      <c r="F70" s="132"/>
      <c r="G70" s="130"/>
    </row>
  </sheetData>
  <sortState xmlns:xlrd2="http://schemas.microsoft.com/office/spreadsheetml/2017/richdata2" ref="M2:N16">
    <sortCondition ref="N2:N16"/>
  </sortState>
  <mergeCells count="15">
    <mergeCell ref="Z40:AA40"/>
    <mergeCell ref="AD40:AE40"/>
    <mergeCell ref="AD38:AE38"/>
    <mergeCell ref="AD39:AE39"/>
    <mergeCell ref="AG39:AH39"/>
    <mergeCell ref="E67:F67"/>
    <mergeCell ref="E68:F68"/>
    <mergeCell ref="G68:G70"/>
    <mergeCell ref="E69:F69"/>
    <mergeCell ref="E70:F70"/>
    <mergeCell ref="E62:F62"/>
    <mergeCell ref="E63:F63"/>
    <mergeCell ref="E64:F64"/>
    <mergeCell ref="E65:F65"/>
    <mergeCell ref="E66:F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FC21-1878-42D1-AC22-8A44F2A63091}">
  <dimension ref="A1:D25"/>
  <sheetViews>
    <sheetView zoomScale="137" zoomScaleNormal="137" workbookViewId="0">
      <selection activeCell="D2" sqref="D2:D25"/>
    </sheetView>
  </sheetViews>
  <sheetFormatPr defaultRowHeight="14.6" x14ac:dyDescent="0.4"/>
  <sheetData>
    <row r="1" spans="1:4" x14ac:dyDescent="0.4">
      <c r="A1" t="s">
        <v>92</v>
      </c>
      <c r="B1" t="s">
        <v>3</v>
      </c>
      <c r="C1" t="s">
        <v>2</v>
      </c>
      <c r="D1" t="s">
        <v>136</v>
      </c>
    </row>
    <row r="2" spans="1:4" x14ac:dyDescent="0.4">
      <c r="B2">
        <v>117</v>
      </c>
      <c r="C2">
        <v>122</v>
      </c>
      <c r="D2">
        <f>(B2+C2)/2</f>
        <v>119.5</v>
      </c>
    </row>
    <row r="3" spans="1:4" x14ac:dyDescent="0.4">
      <c r="B3">
        <v>122</v>
      </c>
      <c r="C3">
        <v>127</v>
      </c>
      <c r="D3">
        <f t="shared" ref="D3:D25" si="0">(B3+C3)/2</f>
        <v>124.5</v>
      </c>
    </row>
    <row r="4" spans="1:4" x14ac:dyDescent="0.4">
      <c r="B4">
        <v>127</v>
      </c>
      <c r="C4">
        <v>133</v>
      </c>
      <c r="D4">
        <f t="shared" si="0"/>
        <v>130</v>
      </c>
    </row>
    <row r="5" spans="1:4" x14ac:dyDescent="0.4">
      <c r="B5">
        <v>133</v>
      </c>
      <c r="C5">
        <v>138</v>
      </c>
      <c r="D5">
        <f t="shared" si="0"/>
        <v>135.5</v>
      </c>
    </row>
    <row r="6" spans="1:4" x14ac:dyDescent="0.4">
      <c r="B6">
        <v>138</v>
      </c>
      <c r="C6">
        <v>143</v>
      </c>
      <c r="D6">
        <f t="shared" si="0"/>
        <v>140.5</v>
      </c>
    </row>
    <row r="7" spans="1:4" x14ac:dyDescent="0.4">
      <c r="B7">
        <v>143</v>
      </c>
      <c r="C7">
        <v>148</v>
      </c>
      <c r="D7">
        <f t="shared" si="0"/>
        <v>145.5</v>
      </c>
    </row>
    <row r="8" spans="1:4" x14ac:dyDescent="0.4">
      <c r="B8">
        <v>148</v>
      </c>
      <c r="C8">
        <v>153</v>
      </c>
      <c r="D8">
        <f t="shared" si="0"/>
        <v>150.5</v>
      </c>
    </row>
    <row r="9" spans="1:4" x14ac:dyDescent="0.4">
      <c r="B9">
        <v>153</v>
      </c>
      <c r="C9">
        <v>158</v>
      </c>
      <c r="D9">
        <f t="shared" si="0"/>
        <v>155.5</v>
      </c>
    </row>
    <row r="10" spans="1:4" x14ac:dyDescent="0.4">
      <c r="B10">
        <v>158</v>
      </c>
      <c r="C10">
        <v>163</v>
      </c>
      <c r="D10">
        <f t="shared" si="0"/>
        <v>160.5</v>
      </c>
    </row>
    <row r="11" spans="1:4" x14ac:dyDescent="0.4">
      <c r="B11">
        <v>163</v>
      </c>
      <c r="C11">
        <v>168</v>
      </c>
      <c r="D11">
        <f t="shared" si="0"/>
        <v>165.5</v>
      </c>
    </row>
    <row r="12" spans="1:4" x14ac:dyDescent="0.4">
      <c r="B12">
        <v>168</v>
      </c>
      <c r="C12">
        <v>173</v>
      </c>
      <c r="D12">
        <f t="shared" si="0"/>
        <v>170.5</v>
      </c>
    </row>
    <row r="13" spans="1:4" x14ac:dyDescent="0.4">
      <c r="A13" s="45"/>
      <c r="B13">
        <v>173</v>
      </c>
      <c r="C13">
        <v>178</v>
      </c>
      <c r="D13">
        <f t="shared" si="0"/>
        <v>175.5</v>
      </c>
    </row>
    <row r="14" spans="1:4" x14ac:dyDescent="0.4">
      <c r="A14" s="44"/>
      <c r="B14">
        <v>178</v>
      </c>
      <c r="C14">
        <v>183</v>
      </c>
      <c r="D14">
        <f t="shared" si="0"/>
        <v>180.5</v>
      </c>
    </row>
    <row r="15" spans="1:4" x14ac:dyDescent="0.4">
      <c r="B15">
        <v>183</v>
      </c>
      <c r="C15">
        <v>188</v>
      </c>
      <c r="D15">
        <f t="shared" si="0"/>
        <v>185.5</v>
      </c>
    </row>
    <row r="16" spans="1:4" x14ac:dyDescent="0.4">
      <c r="B16">
        <v>188</v>
      </c>
      <c r="C16">
        <v>194</v>
      </c>
      <c r="D16">
        <f t="shared" si="0"/>
        <v>191</v>
      </c>
    </row>
    <row r="17" spans="2:4" x14ac:dyDescent="0.4">
      <c r="B17">
        <v>194</v>
      </c>
      <c r="C17">
        <v>199</v>
      </c>
      <c r="D17">
        <f t="shared" si="0"/>
        <v>196.5</v>
      </c>
    </row>
    <row r="18" spans="2:4" x14ac:dyDescent="0.4">
      <c r="B18">
        <v>199</v>
      </c>
      <c r="C18">
        <v>204</v>
      </c>
      <c r="D18">
        <f t="shared" si="0"/>
        <v>201.5</v>
      </c>
    </row>
    <row r="19" spans="2:4" x14ac:dyDescent="0.4">
      <c r="B19">
        <v>204</v>
      </c>
      <c r="C19">
        <v>209</v>
      </c>
      <c r="D19">
        <f t="shared" si="0"/>
        <v>206.5</v>
      </c>
    </row>
    <row r="20" spans="2:4" x14ac:dyDescent="0.4">
      <c r="B20">
        <v>209</v>
      </c>
      <c r="C20">
        <v>214</v>
      </c>
      <c r="D20">
        <f t="shared" si="0"/>
        <v>211.5</v>
      </c>
    </row>
    <row r="21" spans="2:4" x14ac:dyDescent="0.4">
      <c r="B21">
        <v>214</v>
      </c>
      <c r="C21">
        <v>219</v>
      </c>
      <c r="D21">
        <f t="shared" si="0"/>
        <v>216.5</v>
      </c>
    </row>
    <row r="22" spans="2:4" x14ac:dyDescent="0.4">
      <c r="B22">
        <v>219</v>
      </c>
      <c r="C22">
        <v>224</v>
      </c>
      <c r="D22">
        <f t="shared" si="0"/>
        <v>221.5</v>
      </c>
    </row>
    <row r="23" spans="2:4" x14ac:dyDescent="0.4">
      <c r="B23">
        <v>224</v>
      </c>
      <c r="C23">
        <v>229</v>
      </c>
      <c r="D23">
        <f t="shared" si="0"/>
        <v>226.5</v>
      </c>
    </row>
    <row r="24" spans="2:4" x14ac:dyDescent="0.4">
      <c r="B24">
        <v>229</v>
      </c>
      <c r="C24">
        <v>234</v>
      </c>
      <c r="D24">
        <f t="shared" si="0"/>
        <v>231.5</v>
      </c>
    </row>
    <row r="25" spans="2:4" x14ac:dyDescent="0.4">
      <c r="B25">
        <v>234</v>
      </c>
      <c r="C25">
        <v>239</v>
      </c>
      <c r="D25">
        <f t="shared" si="0"/>
        <v>236.5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8E65-E5C9-470D-8F68-0A2908C5E691}">
  <dimension ref="A1:N30"/>
  <sheetViews>
    <sheetView tabSelected="1" topLeftCell="B12" zoomScale="137" workbookViewId="0">
      <selection activeCell="L28" sqref="L28:M30"/>
    </sheetView>
  </sheetViews>
  <sheetFormatPr defaultRowHeight="14.6" x14ac:dyDescent="0.4"/>
  <cols>
    <col min="1" max="2" width="12.07421875" customWidth="1"/>
    <col min="12" max="12" width="11.84375" customWidth="1"/>
    <col min="13" max="13" width="12.3828125" customWidth="1"/>
  </cols>
  <sheetData>
    <row r="1" spans="1:14" x14ac:dyDescent="0.4">
      <c r="A1" t="s">
        <v>1</v>
      </c>
      <c r="J1" s="3" t="s">
        <v>67</v>
      </c>
    </row>
    <row r="2" spans="1:14" x14ac:dyDescent="0.4">
      <c r="A2" t="s">
        <v>3</v>
      </c>
      <c r="B2" t="s">
        <v>2</v>
      </c>
      <c r="C2" t="s">
        <v>0</v>
      </c>
      <c r="E2" s="3" t="s">
        <v>3</v>
      </c>
      <c r="F2" s="3" t="s">
        <v>2</v>
      </c>
      <c r="H2" s="3" t="s">
        <v>3</v>
      </c>
      <c r="I2" s="3" t="s">
        <v>2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</row>
    <row r="3" spans="1:14" x14ac:dyDescent="0.4">
      <c r="A3">
        <v>46</v>
      </c>
      <c r="B3">
        <v>48</v>
      </c>
      <c r="C3" s="1">
        <v>1</v>
      </c>
      <c r="E3" s="1">
        <f>A3*2.54</f>
        <v>116.84</v>
      </c>
      <c r="F3" s="1">
        <f>B3*2.54</f>
        <v>121.92</v>
      </c>
      <c r="H3">
        <f>CEILING(E3,1)</f>
        <v>117</v>
      </c>
      <c r="I3">
        <f>CEILING(F3,1)</f>
        <v>122</v>
      </c>
      <c r="J3" t="str">
        <f>CONCATENATE("[",H3,"-",I3,")")</f>
        <v>[117-122)</v>
      </c>
      <c r="K3" s="1">
        <f>C3</f>
        <v>1</v>
      </c>
      <c r="L3" s="3">
        <f>AVERAGE(H3:I3)</f>
        <v>119.5</v>
      </c>
      <c r="M3" s="5">
        <f>L3*K3</f>
        <v>119.5</v>
      </c>
      <c r="N3" s="1">
        <f>K3</f>
        <v>1</v>
      </c>
    </row>
    <row r="4" spans="1:14" x14ac:dyDescent="0.4">
      <c r="A4">
        <v>48</v>
      </c>
      <c r="B4">
        <v>50</v>
      </c>
      <c r="C4" s="1">
        <v>3</v>
      </c>
      <c r="E4" s="1">
        <f t="shared" ref="E4:E26" si="0">A4*2.54</f>
        <v>121.92</v>
      </c>
      <c r="F4" s="1">
        <f t="shared" ref="F4:F26" si="1">B4*2.54</f>
        <v>127</v>
      </c>
      <c r="H4">
        <f t="shared" ref="H4:H26" si="2">CEILING(E4,1)</f>
        <v>122</v>
      </c>
      <c r="I4">
        <f t="shared" ref="I4:I26" si="3">CEILING(F4,1)</f>
        <v>127</v>
      </c>
      <c r="J4" t="str">
        <f t="shared" ref="J4:J26" si="4">CONCATENATE("[",H4,"-",I4,")")</f>
        <v>[122-127)</v>
      </c>
      <c r="K4" s="1">
        <f t="shared" ref="K4:K26" si="5">C4</f>
        <v>3</v>
      </c>
      <c r="L4">
        <f t="shared" ref="L4:L26" si="6">AVERAGE(H4:I4)</f>
        <v>124.5</v>
      </c>
      <c r="M4" s="5">
        <f>L4*K4</f>
        <v>373.5</v>
      </c>
      <c r="N4" s="1">
        <f>K4+N3</f>
        <v>4</v>
      </c>
    </row>
    <row r="5" spans="1:14" x14ac:dyDescent="0.4">
      <c r="A5">
        <v>50</v>
      </c>
      <c r="B5">
        <v>52</v>
      </c>
      <c r="C5" s="1">
        <v>9</v>
      </c>
      <c r="E5" s="1">
        <f t="shared" si="0"/>
        <v>127</v>
      </c>
      <c r="F5" s="1">
        <f t="shared" si="1"/>
        <v>132.08000000000001</v>
      </c>
      <c r="H5">
        <f t="shared" si="2"/>
        <v>127</v>
      </c>
      <c r="I5">
        <f t="shared" si="3"/>
        <v>133</v>
      </c>
      <c r="J5" t="str">
        <f t="shared" si="4"/>
        <v>[127-133)</v>
      </c>
      <c r="K5" s="1">
        <f t="shared" si="5"/>
        <v>9</v>
      </c>
      <c r="L5">
        <f t="shared" si="6"/>
        <v>130</v>
      </c>
      <c r="M5" s="5">
        <f t="shared" ref="M5:M26" si="7">L5*K5</f>
        <v>1170</v>
      </c>
      <c r="N5" s="1">
        <f>K5+N4</f>
        <v>13</v>
      </c>
    </row>
    <row r="6" spans="1:14" x14ac:dyDescent="0.4">
      <c r="A6">
        <v>52</v>
      </c>
      <c r="B6">
        <v>54</v>
      </c>
      <c r="C6" s="1">
        <v>25</v>
      </c>
      <c r="E6" s="1">
        <f t="shared" si="0"/>
        <v>132.08000000000001</v>
      </c>
      <c r="F6" s="1">
        <f t="shared" si="1"/>
        <v>137.16</v>
      </c>
      <c r="H6">
        <f t="shared" si="2"/>
        <v>133</v>
      </c>
      <c r="I6">
        <f t="shared" si="3"/>
        <v>138</v>
      </c>
      <c r="J6" t="str">
        <f t="shared" si="4"/>
        <v>[133-138)</v>
      </c>
      <c r="K6" s="1">
        <f t="shared" si="5"/>
        <v>25</v>
      </c>
      <c r="L6">
        <f t="shared" si="6"/>
        <v>135.5</v>
      </c>
      <c r="M6" s="5">
        <f t="shared" si="7"/>
        <v>3387.5</v>
      </c>
      <c r="N6" s="1">
        <f t="shared" ref="N6:N26" si="8">K6+N5</f>
        <v>38</v>
      </c>
    </row>
    <row r="7" spans="1:14" x14ac:dyDescent="0.4">
      <c r="A7">
        <v>54</v>
      </c>
      <c r="B7">
        <v>56</v>
      </c>
      <c r="C7" s="1">
        <v>60</v>
      </c>
      <c r="E7" s="1">
        <f t="shared" si="0"/>
        <v>137.16</v>
      </c>
      <c r="F7" s="1">
        <f t="shared" si="1"/>
        <v>142.24</v>
      </c>
      <c r="H7">
        <f t="shared" si="2"/>
        <v>138</v>
      </c>
      <c r="I7">
        <f t="shared" si="3"/>
        <v>143</v>
      </c>
      <c r="J7" t="str">
        <f t="shared" si="4"/>
        <v>[138-143)</v>
      </c>
      <c r="K7" s="1">
        <f t="shared" si="5"/>
        <v>60</v>
      </c>
      <c r="L7">
        <f t="shared" si="6"/>
        <v>140.5</v>
      </c>
      <c r="M7" s="5">
        <f t="shared" si="7"/>
        <v>8430</v>
      </c>
      <c r="N7" s="1">
        <f t="shared" si="8"/>
        <v>98</v>
      </c>
    </row>
    <row r="8" spans="1:14" x14ac:dyDescent="0.4">
      <c r="A8">
        <v>56</v>
      </c>
      <c r="B8">
        <v>58</v>
      </c>
      <c r="C8" s="1">
        <v>130</v>
      </c>
      <c r="E8" s="1">
        <f t="shared" si="0"/>
        <v>142.24</v>
      </c>
      <c r="F8" s="1">
        <f t="shared" si="1"/>
        <v>147.32</v>
      </c>
      <c r="H8">
        <f t="shared" si="2"/>
        <v>143</v>
      </c>
      <c r="I8">
        <f t="shared" si="3"/>
        <v>148</v>
      </c>
      <c r="J8" t="str">
        <f t="shared" si="4"/>
        <v>[143-148)</v>
      </c>
      <c r="K8" s="1">
        <f t="shared" si="5"/>
        <v>130</v>
      </c>
      <c r="L8">
        <f t="shared" si="6"/>
        <v>145.5</v>
      </c>
      <c r="M8" s="5">
        <f t="shared" si="7"/>
        <v>18915</v>
      </c>
      <c r="N8" s="1">
        <f t="shared" si="8"/>
        <v>228</v>
      </c>
    </row>
    <row r="9" spans="1:14" x14ac:dyDescent="0.4">
      <c r="A9">
        <v>58</v>
      </c>
      <c r="B9">
        <v>60</v>
      </c>
      <c r="C9" s="1">
        <v>250</v>
      </c>
      <c r="E9" s="1">
        <f t="shared" si="0"/>
        <v>147.32</v>
      </c>
      <c r="F9" s="1">
        <f t="shared" si="1"/>
        <v>152.4</v>
      </c>
      <c r="H9">
        <f t="shared" si="2"/>
        <v>148</v>
      </c>
      <c r="I9">
        <f t="shared" si="3"/>
        <v>153</v>
      </c>
      <c r="J9" t="str">
        <f t="shared" si="4"/>
        <v>[148-153)</v>
      </c>
      <c r="K9" s="1">
        <f t="shared" si="5"/>
        <v>250</v>
      </c>
      <c r="L9">
        <f t="shared" si="6"/>
        <v>150.5</v>
      </c>
      <c r="M9" s="5">
        <f t="shared" si="7"/>
        <v>37625</v>
      </c>
      <c r="N9" s="1">
        <f t="shared" si="8"/>
        <v>478</v>
      </c>
    </row>
    <row r="10" spans="1:14" x14ac:dyDescent="0.4">
      <c r="A10">
        <v>60</v>
      </c>
      <c r="B10">
        <v>62</v>
      </c>
      <c r="C10" s="1">
        <v>434</v>
      </c>
      <c r="E10" s="1">
        <f t="shared" si="0"/>
        <v>152.4</v>
      </c>
      <c r="F10" s="1">
        <f t="shared" si="1"/>
        <v>157.47999999999999</v>
      </c>
      <c r="H10">
        <f t="shared" si="2"/>
        <v>153</v>
      </c>
      <c r="I10">
        <f t="shared" si="3"/>
        <v>158</v>
      </c>
      <c r="J10" t="str">
        <f t="shared" si="4"/>
        <v>[153-158)</v>
      </c>
      <c r="K10" s="1">
        <f t="shared" si="5"/>
        <v>434</v>
      </c>
      <c r="L10">
        <f t="shared" si="6"/>
        <v>155.5</v>
      </c>
      <c r="M10" s="5">
        <f t="shared" si="7"/>
        <v>67487</v>
      </c>
      <c r="N10" s="1">
        <f t="shared" si="8"/>
        <v>912</v>
      </c>
    </row>
    <row r="11" spans="1:14" x14ac:dyDescent="0.4">
      <c r="A11">
        <v>62</v>
      </c>
      <c r="B11">
        <v>64</v>
      </c>
      <c r="C11" s="1">
        <v>675</v>
      </c>
      <c r="E11" s="1">
        <f t="shared" si="0"/>
        <v>157.47999999999999</v>
      </c>
      <c r="F11" s="1">
        <f t="shared" si="1"/>
        <v>162.56</v>
      </c>
      <c r="H11">
        <f t="shared" si="2"/>
        <v>158</v>
      </c>
      <c r="I11">
        <f t="shared" si="3"/>
        <v>163</v>
      </c>
      <c r="J11" t="str">
        <f t="shared" si="4"/>
        <v>[158-163)</v>
      </c>
      <c r="K11" s="1">
        <f t="shared" si="5"/>
        <v>675</v>
      </c>
      <c r="L11">
        <f t="shared" si="6"/>
        <v>160.5</v>
      </c>
      <c r="M11" s="5">
        <f t="shared" si="7"/>
        <v>108337.5</v>
      </c>
      <c r="N11" s="1">
        <f t="shared" si="8"/>
        <v>1587</v>
      </c>
    </row>
    <row r="12" spans="1:14" x14ac:dyDescent="0.4">
      <c r="A12">
        <v>64</v>
      </c>
      <c r="B12">
        <v>66</v>
      </c>
      <c r="C12" s="1">
        <v>938</v>
      </c>
      <c r="E12" s="1">
        <f t="shared" si="0"/>
        <v>162.56</v>
      </c>
      <c r="F12" s="1">
        <f t="shared" si="1"/>
        <v>167.64000000000001</v>
      </c>
      <c r="H12">
        <f t="shared" si="2"/>
        <v>163</v>
      </c>
      <c r="I12">
        <f t="shared" si="3"/>
        <v>168</v>
      </c>
      <c r="J12" t="str">
        <f t="shared" si="4"/>
        <v>[163-168)</v>
      </c>
      <c r="K12" s="1">
        <f t="shared" si="5"/>
        <v>938</v>
      </c>
      <c r="L12">
        <f t="shared" si="6"/>
        <v>165.5</v>
      </c>
      <c r="M12" s="5">
        <f t="shared" si="7"/>
        <v>155239</v>
      </c>
      <c r="N12" s="1">
        <f t="shared" si="8"/>
        <v>2525</v>
      </c>
    </row>
    <row r="13" spans="1:14" x14ac:dyDescent="0.4">
      <c r="A13">
        <v>66</v>
      </c>
      <c r="B13">
        <v>68</v>
      </c>
      <c r="C13" s="1">
        <v>1169</v>
      </c>
      <c r="E13" s="1">
        <f t="shared" si="0"/>
        <v>167.64000000000001</v>
      </c>
      <c r="F13" s="1">
        <f t="shared" si="1"/>
        <v>172.72</v>
      </c>
      <c r="H13">
        <f t="shared" si="2"/>
        <v>168</v>
      </c>
      <c r="I13">
        <f t="shared" si="3"/>
        <v>173</v>
      </c>
      <c r="J13" t="str">
        <f t="shared" si="4"/>
        <v>[168-173)</v>
      </c>
      <c r="K13" s="1">
        <f t="shared" si="5"/>
        <v>1169</v>
      </c>
      <c r="L13">
        <f t="shared" si="6"/>
        <v>170.5</v>
      </c>
      <c r="M13" s="5">
        <f t="shared" si="7"/>
        <v>199314.5</v>
      </c>
      <c r="N13" s="1">
        <f t="shared" si="8"/>
        <v>3694</v>
      </c>
    </row>
    <row r="14" spans="1:14" x14ac:dyDescent="0.4">
      <c r="A14">
        <v>68</v>
      </c>
      <c r="B14">
        <v>70</v>
      </c>
      <c r="C14" s="1">
        <v>1306</v>
      </c>
      <c r="E14" s="1">
        <f t="shared" si="0"/>
        <v>172.72</v>
      </c>
      <c r="F14" s="1">
        <f t="shared" si="1"/>
        <v>177.8</v>
      </c>
      <c r="H14">
        <f t="shared" si="2"/>
        <v>173</v>
      </c>
      <c r="I14">
        <f t="shared" si="3"/>
        <v>178</v>
      </c>
      <c r="J14" t="str">
        <f t="shared" si="4"/>
        <v>[173-178)</v>
      </c>
      <c r="K14" s="4">
        <v>1300</v>
      </c>
      <c r="L14" s="3">
        <f t="shared" si="6"/>
        <v>175.5</v>
      </c>
      <c r="M14" s="5">
        <f t="shared" si="7"/>
        <v>228150</v>
      </c>
      <c r="N14" s="1">
        <f t="shared" si="8"/>
        <v>4994</v>
      </c>
    </row>
    <row r="15" spans="1:14" x14ac:dyDescent="0.4">
      <c r="A15">
        <v>70</v>
      </c>
      <c r="B15">
        <v>72</v>
      </c>
      <c r="C15" s="1">
        <v>1306</v>
      </c>
      <c r="E15" s="1">
        <f t="shared" si="0"/>
        <v>177.8</v>
      </c>
      <c r="F15" s="1">
        <f t="shared" si="1"/>
        <v>182.88</v>
      </c>
      <c r="H15">
        <f t="shared" si="2"/>
        <v>178</v>
      </c>
      <c r="I15">
        <f t="shared" si="3"/>
        <v>183</v>
      </c>
      <c r="J15" t="str">
        <f t="shared" si="4"/>
        <v>[178-183)</v>
      </c>
      <c r="K15" s="7">
        <v>1312</v>
      </c>
      <c r="L15" s="8">
        <f t="shared" si="6"/>
        <v>180.5</v>
      </c>
      <c r="M15" s="5">
        <f t="shared" si="7"/>
        <v>236816</v>
      </c>
      <c r="N15" s="1">
        <f t="shared" si="8"/>
        <v>6306</v>
      </c>
    </row>
    <row r="16" spans="1:14" x14ac:dyDescent="0.4">
      <c r="A16">
        <v>72</v>
      </c>
      <c r="B16">
        <v>74</v>
      </c>
      <c r="C16" s="1">
        <v>1169</v>
      </c>
      <c r="E16" s="1">
        <f t="shared" si="0"/>
        <v>182.88</v>
      </c>
      <c r="F16" s="1">
        <f t="shared" si="1"/>
        <v>187.96</v>
      </c>
      <c r="H16">
        <f t="shared" si="2"/>
        <v>183</v>
      </c>
      <c r="I16">
        <f t="shared" si="3"/>
        <v>188</v>
      </c>
      <c r="J16" t="str">
        <f t="shared" si="4"/>
        <v>[183-188)</v>
      </c>
      <c r="K16" s="1">
        <f t="shared" si="5"/>
        <v>1169</v>
      </c>
      <c r="L16">
        <f t="shared" si="6"/>
        <v>185.5</v>
      </c>
      <c r="M16" s="5">
        <f t="shared" si="7"/>
        <v>216849.5</v>
      </c>
      <c r="N16" s="1">
        <f t="shared" si="8"/>
        <v>7475</v>
      </c>
    </row>
    <row r="17" spans="1:14" x14ac:dyDescent="0.4">
      <c r="A17">
        <v>74</v>
      </c>
      <c r="B17">
        <v>76</v>
      </c>
      <c r="C17" s="1">
        <v>938</v>
      </c>
      <c r="E17" s="1">
        <f t="shared" si="0"/>
        <v>187.96</v>
      </c>
      <c r="F17" s="1">
        <f t="shared" si="1"/>
        <v>193.04</v>
      </c>
      <c r="H17">
        <f t="shared" si="2"/>
        <v>188</v>
      </c>
      <c r="I17">
        <f t="shared" si="3"/>
        <v>194</v>
      </c>
      <c r="J17" t="str">
        <f t="shared" si="4"/>
        <v>[188-194)</v>
      </c>
      <c r="K17" s="1">
        <f t="shared" si="5"/>
        <v>938</v>
      </c>
      <c r="L17">
        <f t="shared" si="6"/>
        <v>191</v>
      </c>
      <c r="M17" s="5">
        <f t="shared" si="7"/>
        <v>179158</v>
      </c>
      <c r="N17" s="1">
        <f t="shared" si="8"/>
        <v>8413</v>
      </c>
    </row>
    <row r="18" spans="1:14" x14ac:dyDescent="0.4">
      <c r="A18">
        <v>76</v>
      </c>
      <c r="B18">
        <v>78</v>
      </c>
      <c r="C18" s="1">
        <v>675</v>
      </c>
      <c r="E18" s="1">
        <f t="shared" si="0"/>
        <v>193.04</v>
      </c>
      <c r="F18" s="1">
        <f t="shared" si="1"/>
        <v>198.12</v>
      </c>
      <c r="H18">
        <f t="shared" si="2"/>
        <v>194</v>
      </c>
      <c r="I18">
        <f t="shared" si="3"/>
        <v>199</v>
      </c>
      <c r="J18" t="str">
        <f t="shared" si="4"/>
        <v>[194-199)</v>
      </c>
      <c r="K18" s="1">
        <f t="shared" si="5"/>
        <v>675</v>
      </c>
      <c r="L18">
        <f t="shared" si="6"/>
        <v>196.5</v>
      </c>
      <c r="M18" s="5">
        <f t="shared" si="7"/>
        <v>132637.5</v>
      </c>
      <c r="N18" s="1">
        <f t="shared" si="8"/>
        <v>9088</v>
      </c>
    </row>
    <row r="19" spans="1:14" x14ac:dyDescent="0.4">
      <c r="A19">
        <v>78</v>
      </c>
      <c r="B19">
        <v>80</v>
      </c>
      <c r="C19" s="1">
        <v>434</v>
      </c>
      <c r="E19" s="1">
        <f t="shared" si="0"/>
        <v>198.12</v>
      </c>
      <c r="F19" s="1">
        <f t="shared" si="1"/>
        <v>203.2</v>
      </c>
      <c r="H19">
        <f t="shared" si="2"/>
        <v>199</v>
      </c>
      <c r="I19">
        <f t="shared" si="3"/>
        <v>204</v>
      </c>
      <c r="J19" t="str">
        <f t="shared" si="4"/>
        <v>[199-204)</v>
      </c>
      <c r="K19" s="1">
        <f t="shared" si="5"/>
        <v>434</v>
      </c>
      <c r="L19">
        <f t="shared" si="6"/>
        <v>201.5</v>
      </c>
      <c r="M19" s="5">
        <f t="shared" si="7"/>
        <v>87451</v>
      </c>
      <c r="N19" s="1">
        <f t="shared" si="8"/>
        <v>9522</v>
      </c>
    </row>
    <row r="20" spans="1:14" x14ac:dyDescent="0.4">
      <c r="A20">
        <v>80</v>
      </c>
      <c r="B20">
        <v>82</v>
      </c>
      <c r="C20" s="1">
        <v>250</v>
      </c>
      <c r="E20" s="1">
        <f t="shared" si="0"/>
        <v>203.2</v>
      </c>
      <c r="F20" s="1">
        <f t="shared" si="1"/>
        <v>208.28</v>
      </c>
      <c r="H20">
        <f t="shared" si="2"/>
        <v>204</v>
      </c>
      <c r="I20">
        <f t="shared" si="3"/>
        <v>209</v>
      </c>
      <c r="J20" t="str">
        <f t="shared" si="4"/>
        <v>[204-209)</v>
      </c>
      <c r="K20" s="1">
        <f t="shared" si="5"/>
        <v>250</v>
      </c>
      <c r="L20">
        <f t="shared" si="6"/>
        <v>206.5</v>
      </c>
      <c r="M20" s="5">
        <f t="shared" si="7"/>
        <v>51625</v>
      </c>
      <c r="N20" s="1">
        <f t="shared" si="8"/>
        <v>9772</v>
      </c>
    </row>
    <row r="21" spans="1:14" x14ac:dyDescent="0.4">
      <c r="A21">
        <v>82</v>
      </c>
      <c r="B21">
        <v>84</v>
      </c>
      <c r="C21" s="1">
        <v>130</v>
      </c>
      <c r="E21" s="1">
        <f t="shared" si="0"/>
        <v>208.28</v>
      </c>
      <c r="F21" s="1">
        <f t="shared" si="1"/>
        <v>213.36</v>
      </c>
      <c r="H21">
        <f t="shared" si="2"/>
        <v>209</v>
      </c>
      <c r="I21">
        <f t="shared" si="3"/>
        <v>214</v>
      </c>
      <c r="J21" t="str">
        <f t="shared" si="4"/>
        <v>[209-214)</v>
      </c>
      <c r="K21" s="1">
        <f t="shared" si="5"/>
        <v>130</v>
      </c>
      <c r="L21">
        <f t="shared" si="6"/>
        <v>211.5</v>
      </c>
      <c r="M21" s="5">
        <f t="shared" si="7"/>
        <v>27495</v>
      </c>
      <c r="N21" s="1">
        <f t="shared" si="8"/>
        <v>9902</v>
      </c>
    </row>
    <row r="22" spans="1:14" x14ac:dyDescent="0.4">
      <c r="A22">
        <v>84</v>
      </c>
      <c r="B22">
        <v>86</v>
      </c>
      <c r="C22" s="1">
        <v>60</v>
      </c>
      <c r="E22" s="1">
        <f t="shared" si="0"/>
        <v>213.36</v>
      </c>
      <c r="F22" s="1">
        <f t="shared" si="1"/>
        <v>218.44</v>
      </c>
      <c r="H22">
        <f t="shared" si="2"/>
        <v>214</v>
      </c>
      <c r="I22">
        <f t="shared" si="3"/>
        <v>219</v>
      </c>
      <c r="J22" t="str">
        <f t="shared" si="4"/>
        <v>[214-219)</v>
      </c>
      <c r="K22" s="1">
        <f t="shared" si="5"/>
        <v>60</v>
      </c>
      <c r="L22">
        <f t="shared" si="6"/>
        <v>216.5</v>
      </c>
      <c r="M22" s="5">
        <f t="shared" si="7"/>
        <v>12990</v>
      </c>
      <c r="N22" s="1">
        <f t="shared" si="8"/>
        <v>9962</v>
      </c>
    </row>
    <row r="23" spans="1:14" x14ac:dyDescent="0.4">
      <c r="A23">
        <v>86</v>
      </c>
      <c r="B23">
        <v>88</v>
      </c>
      <c r="C23" s="1">
        <v>25</v>
      </c>
      <c r="E23" s="1">
        <f t="shared" si="0"/>
        <v>218.44</v>
      </c>
      <c r="F23" s="1">
        <f t="shared" si="1"/>
        <v>223.52</v>
      </c>
      <c r="H23">
        <f t="shared" si="2"/>
        <v>219</v>
      </c>
      <c r="I23">
        <f t="shared" si="3"/>
        <v>224</v>
      </c>
      <c r="J23" t="str">
        <f t="shared" si="4"/>
        <v>[219-224)</v>
      </c>
      <c r="K23" s="1">
        <f t="shared" si="5"/>
        <v>25</v>
      </c>
      <c r="L23">
        <f t="shared" si="6"/>
        <v>221.5</v>
      </c>
      <c r="M23" s="5">
        <f t="shared" si="7"/>
        <v>5537.5</v>
      </c>
      <c r="N23" s="1">
        <f t="shared" si="8"/>
        <v>9987</v>
      </c>
    </row>
    <row r="24" spans="1:14" x14ac:dyDescent="0.4">
      <c r="A24">
        <v>88</v>
      </c>
      <c r="B24">
        <v>90</v>
      </c>
      <c r="C24" s="1">
        <v>9</v>
      </c>
      <c r="E24" s="1">
        <f t="shared" si="0"/>
        <v>223.52</v>
      </c>
      <c r="F24" s="1">
        <f t="shared" si="1"/>
        <v>228.6</v>
      </c>
      <c r="H24">
        <f t="shared" si="2"/>
        <v>224</v>
      </c>
      <c r="I24">
        <f t="shared" si="3"/>
        <v>229</v>
      </c>
      <c r="J24" t="str">
        <f t="shared" si="4"/>
        <v>[224-229)</v>
      </c>
      <c r="K24" s="1">
        <f t="shared" si="5"/>
        <v>9</v>
      </c>
      <c r="L24">
        <f t="shared" si="6"/>
        <v>226.5</v>
      </c>
      <c r="M24" s="5">
        <f t="shared" si="7"/>
        <v>2038.5</v>
      </c>
      <c r="N24" s="1">
        <f t="shared" si="8"/>
        <v>9996</v>
      </c>
    </row>
    <row r="25" spans="1:14" x14ac:dyDescent="0.4">
      <c r="A25">
        <v>90</v>
      </c>
      <c r="B25">
        <v>92</v>
      </c>
      <c r="C25" s="1">
        <v>3</v>
      </c>
      <c r="E25" s="1">
        <f t="shared" si="0"/>
        <v>228.6</v>
      </c>
      <c r="F25" s="1">
        <f t="shared" si="1"/>
        <v>233.68</v>
      </c>
      <c r="H25">
        <f t="shared" si="2"/>
        <v>229</v>
      </c>
      <c r="I25">
        <f t="shared" si="3"/>
        <v>234</v>
      </c>
      <c r="J25" t="str">
        <f t="shared" si="4"/>
        <v>[229-234)</v>
      </c>
      <c r="K25" s="1">
        <f t="shared" si="5"/>
        <v>3</v>
      </c>
      <c r="L25">
        <f t="shared" si="6"/>
        <v>231.5</v>
      </c>
      <c r="M25" s="5">
        <f t="shared" si="7"/>
        <v>694.5</v>
      </c>
      <c r="N25" s="1">
        <f t="shared" si="8"/>
        <v>9999</v>
      </c>
    </row>
    <row r="26" spans="1:14" x14ac:dyDescent="0.4">
      <c r="A26">
        <v>92</v>
      </c>
      <c r="B26">
        <v>94</v>
      </c>
      <c r="C26" s="1">
        <v>1</v>
      </c>
      <c r="E26" s="1">
        <f t="shared" si="0"/>
        <v>233.68</v>
      </c>
      <c r="F26" s="1">
        <f t="shared" si="1"/>
        <v>238.76</v>
      </c>
      <c r="H26">
        <f t="shared" si="2"/>
        <v>234</v>
      </c>
      <c r="I26">
        <f t="shared" si="3"/>
        <v>239</v>
      </c>
      <c r="J26" t="str">
        <f t="shared" si="4"/>
        <v>[234-239)</v>
      </c>
      <c r="K26" s="1">
        <f t="shared" si="5"/>
        <v>1</v>
      </c>
      <c r="L26">
        <f t="shared" si="6"/>
        <v>236.5</v>
      </c>
      <c r="M26" s="5">
        <f t="shared" si="7"/>
        <v>236.5</v>
      </c>
      <c r="N26" s="4">
        <f t="shared" si="8"/>
        <v>10000</v>
      </c>
    </row>
    <row r="27" spans="1:14" x14ac:dyDescent="0.4">
      <c r="J27" s="3" t="s">
        <v>10</v>
      </c>
      <c r="K27" s="4">
        <f>SUM(K3:K26)</f>
        <v>10000</v>
      </c>
      <c r="L27" t="s">
        <v>143</v>
      </c>
      <c r="M27" s="4">
        <f>SUM(M3:M26)</f>
        <v>1782077.5</v>
      </c>
    </row>
    <row r="28" spans="1:14" x14ac:dyDescent="0.4">
      <c r="L28" t="s">
        <v>9</v>
      </c>
      <c r="M28" s="6">
        <f>M27/K27</f>
        <v>178.20775</v>
      </c>
    </row>
    <row r="29" spans="1:14" x14ac:dyDescent="0.4">
      <c r="L29" t="s">
        <v>11</v>
      </c>
      <c r="M29">
        <v>180.5</v>
      </c>
    </row>
    <row r="30" spans="1:14" x14ac:dyDescent="0.4">
      <c r="L30" t="s">
        <v>12</v>
      </c>
      <c r="M30">
        <v>180.5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0070-D378-4856-B3BA-B10385F7B8BD}">
  <dimension ref="A3:K86"/>
  <sheetViews>
    <sheetView topLeftCell="A19" zoomScale="140" zoomScaleNormal="140" workbookViewId="0">
      <selection activeCell="C22" sqref="C22"/>
    </sheetView>
  </sheetViews>
  <sheetFormatPr defaultRowHeight="14.6" x14ac:dyDescent="0.4"/>
  <cols>
    <col min="2" max="2" width="12.3046875" customWidth="1"/>
    <col min="3" max="3" width="12" customWidth="1"/>
    <col min="4" max="4" width="15.07421875" customWidth="1"/>
    <col min="5" max="5" width="10.3828125" customWidth="1"/>
    <col min="6" max="6" width="12.53515625" customWidth="1"/>
    <col min="7" max="7" width="12.765625" customWidth="1"/>
    <col min="9" max="9" width="12.23046875" customWidth="1"/>
    <col min="10" max="10" width="12.61328125" customWidth="1"/>
  </cols>
  <sheetData>
    <row r="3" spans="1:11" ht="58.3" x14ac:dyDescent="0.4">
      <c r="A3" s="97" t="s">
        <v>45</v>
      </c>
      <c r="B3" s="97" t="s">
        <v>5</v>
      </c>
      <c r="C3" s="97" t="s">
        <v>46</v>
      </c>
      <c r="D3" s="97" t="s">
        <v>21</v>
      </c>
      <c r="E3" s="97" t="s">
        <v>135</v>
      </c>
      <c r="F3" s="97"/>
      <c r="G3" s="97" t="s">
        <v>124</v>
      </c>
      <c r="H3" s="97" t="s">
        <v>5</v>
      </c>
      <c r="I3" s="97" t="s">
        <v>125</v>
      </c>
      <c r="J3" s="97" t="s">
        <v>126</v>
      </c>
      <c r="K3" s="97" t="s">
        <v>127</v>
      </c>
    </row>
    <row r="4" spans="1:11" x14ac:dyDescent="0.4">
      <c r="A4" t="s">
        <v>43</v>
      </c>
      <c r="B4">
        <v>7</v>
      </c>
      <c r="C4">
        <f>B4</f>
        <v>7</v>
      </c>
      <c r="D4" s="2">
        <f t="shared" ref="D4:E8" si="0">B4/$B$9*100</f>
        <v>15.909090909090908</v>
      </c>
      <c r="E4" s="5">
        <f t="shared" si="0"/>
        <v>15.909090909090908</v>
      </c>
      <c r="G4">
        <v>0</v>
      </c>
      <c r="H4">
        <v>4</v>
      </c>
      <c r="I4">
        <f t="shared" ref="I4:I9" si="1">H4/50*100</f>
        <v>8</v>
      </c>
      <c r="J4">
        <f>I4</f>
        <v>8</v>
      </c>
      <c r="K4">
        <f t="shared" ref="K4:K9" si="2">G4*H4</f>
        <v>0</v>
      </c>
    </row>
    <row r="5" spans="1:11" x14ac:dyDescent="0.4">
      <c r="A5" t="s">
        <v>41</v>
      </c>
      <c r="B5">
        <v>10</v>
      </c>
      <c r="C5">
        <f>B5+C4</f>
        <v>17</v>
      </c>
      <c r="D5" s="2">
        <f t="shared" si="0"/>
        <v>22.727272727272727</v>
      </c>
      <c r="E5" s="5">
        <f t="shared" si="0"/>
        <v>38.636363636363633</v>
      </c>
      <c r="G5" s="120">
        <v>1</v>
      </c>
      <c r="H5" s="120">
        <v>15</v>
      </c>
      <c r="I5">
        <f t="shared" si="1"/>
        <v>30</v>
      </c>
      <c r="J5">
        <f>I5+J4</f>
        <v>38</v>
      </c>
      <c r="K5">
        <f t="shared" si="2"/>
        <v>15</v>
      </c>
    </row>
    <row r="6" spans="1:11" x14ac:dyDescent="0.4">
      <c r="A6" s="3" t="s">
        <v>42</v>
      </c>
      <c r="B6" s="3">
        <v>11</v>
      </c>
      <c r="C6">
        <f>B6+C5</f>
        <v>28</v>
      </c>
      <c r="D6" s="2">
        <f t="shared" si="0"/>
        <v>25</v>
      </c>
      <c r="E6" s="6">
        <f t="shared" si="0"/>
        <v>63.636363636363633</v>
      </c>
      <c r="G6" s="8">
        <v>2</v>
      </c>
      <c r="H6" s="45">
        <v>11</v>
      </c>
      <c r="I6">
        <f t="shared" si="1"/>
        <v>22</v>
      </c>
      <c r="J6" s="3">
        <f>I6+J5</f>
        <v>60</v>
      </c>
      <c r="K6">
        <f t="shared" si="2"/>
        <v>22</v>
      </c>
    </row>
    <row r="7" spans="1:11" x14ac:dyDescent="0.4">
      <c r="A7" t="s">
        <v>44</v>
      </c>
      <c r="B7">
        <v>8</v>
      </c>
      <c r="C7">
        <f>B7+C6</f>
        <v>36</v>
      </c>
      <c r="D7" s="2">
        <f t="shared" si="0"/>
        <v>18.181818181818183</v>
      </c>
      <c r="E7" s="5">
        <f t="shared" si="0"/>
        <v>81.818181818181827</v>
      </c>
      <c r="G7">
        <v>3</v>
      </c>
      <c r="H7">
        <v>8</v>
      </c>
      <c r="I7">
        <f t="shared" si="1"/>
        <v>16</v>
      </c>
      <c r="J7">
        <f>I7+J6</f>
        <v>76</v>
      </c>
      <c r="K7">
        <f t="shared" si="2"/>
        <v>24</v>
      </c>
    </row>
    <row r="8" spans="1:11" x14ac:dyDescent="0.4">
      <c r="A8" t="s">
        <v>40</v>
      </c>
      <c r="B8">
        <v>8</v>
      </c>
      <c r="C8">
        <f>B8+C7</f>
        <v>44</v>
      </c>
      <c r="D8" s="2">
        <f t="shared" si="0"/>
        <v>18.181818181818183</v>
      </c>
      <c r="E8" s="5">
        <f t="shared" si="0"/>
        <v>100</v>
      </c>
      <c r="G8">
        <v>4</v>
      </c>
      <c r="H8">
        <v>6</v>
      </c>
      <c r="I8">
        <f t="shared" si="1"/>
        <v>12</v>
      </c>
      <c r="J8">
        <f>I8+J7</f>
        <v>88</v>
      </c>
      <c r="K8">
        <f t="shared" si="2"/>
        <v>24</v>
      </c>
    </row>
    <row r="9" spans="1:11" x14ac:dyDescent="0.4">
      <c r="A9" t="s">
        <v>10</v>
      </c>
      <c r="B9">
        <v>44</v>
      </c>
      <c r="G9">
        <v>5</v>
      </c>
      <c r="H9">
        <v>6</v>
      </c>
      <c r="I9">
        <f t="shared" si="1"/>
        <v>12</v>
      </c>
      <c r="J9">
        <f>I9+J8</f>
        <v>100</v>
      </c>
      <c r="K9">
        <f t="shared" si="2"/>
        <v>30</v>
      </c>
    </row>
    <row r="10" spans="1:11" x14ac:dyDescent="0.4">
      <c r="F10" t="s">
        <v>10</v>
      </c>
      <c r="G10">
        <v>50</v>
      </c>
      <c r="H10" s="3">
        <f>SUM(H4:H9)</f>
        <v>50</v>
      </c>
    </row>
    <row r="11" spans="1:11" x14ac:dyDescent="0.4">
      <c r="A11" s="3" t="s">
        <v>12</v>
      </c>
      <c r="B11" s="3" t="s">
        <v>42</v>
      </c>
      <c r="G11" t="s">
        <v>142</v>
      </c>
      <c r="H11">
        <v>50</v>
      </c>
      <c r="J11" t="s">
        <v>95</v>
      </c>
      <c r="K11">
        <f>SUM(K4:K9)</f>
        <v>115</v>
      </c>
    </row>
    <row r="12" spans="1:11" x14ac:dyDescent="0.4">
      <c r="A12" s="3" t="s">
        <v>11</v>
      </c>
      <c r="B12" s="3" t="s">
        <v>42</v>
      </c>
      <c r="G12" s="3" t="s">
        <v>11</v>
      </c>
      <c r="H12" s="3">
        <v>2</v>
      </c>
      <c r="J12" t="s">
        <v>9</v>
      </c>
      <c r="K12" s="3">
        <f>K11/G10</f>
        <v>2.2999999999999998</v>
      </c>
    </row>
    <row r="13" spans="1:11" x14ac:dyDescent="0.4">
      <c r="G13" s="3" t="s">
        <v>12</v>
      </c>
      <c r="H13" s="3">
        <v>1</v>
      </c>
    </row>
    <row r="14" spans="1:11" x14ac:dyDescent="0.4">
      <c r="G14" s="3" t="s">
        <v>9</v>
      </c>
      <c r="H14" s="3">
        <v>2.2999999999999998</v>
      </c>
    </row>
    <row r="19" spans="1:7" x14ac:dyDescent="0.4">
      <c r="A19" t="s">
        <v>92</v>
      </c>
      <c r="B19" t="s">
        <v>5</v>
      </c>
      <c r="C19" t="s">
        <v>8</v>
      </c>
      <c r="D19" t="s">
        <v>59</v>
      </c>
      <c r="F19" t="s">
        <v>93</v>
      </c>
      <c r="G19" t="s">
        <v>94</v>
      </c>
    </row>
    <row r="20" spans="1:7" x14ac:dyDescent="0.4">
      <c r="A20" t="s">
        <v>68</v>
      </c>
      <c r="B20">
        <v>1</v>
      </c>
    </row>
    <row r="21" spans="1:7" x14ac:dyDescent="0.4">
      <c r="A21" t="s">
        <v>69</v>
      </c>
      <c r="B21">
        <v>3</v>
      </c>
    </row>
    <row r="22" spans="1:7" x14ac:dyDescent="0.4">
      <c r="A22" t="s">
        <v>70</v>
      </c>
      <c r="B22">
        <v>9</v>
      </c>
    </row>
    <row r="23" spans="1:7" x14ac:dyDescent="0.4">
      <c r="A23" t="s">
        <v>71</v>
      </c>
      <c r="B23">
        <v>25</v>
      </c>
    </row>
    <row r="24" spans="1:7" x14ac:dyDescent="0.4">
      <c r="A24" t="s">
        <v>72</v>
      </c>
      <c r="B24">
        <v>60</v>
      </c>
    </row>
    <row r="25" spans="1:7" x14ac:dyDescent="0.4">
      <c r="A25" t="s">
        <v>73</v>
      </c>
      <c r="B25">
        <v>130</v>
      </c>
    </row>
    <row r="26" spans="1:7" x14ac:dyDescent="0.4">
      <c r="A26" t="s">
        <v>74</v>
      </c>
      <c r="B26">
        <v>250</v>
      </c>
    </row>
    <row r="27" spans="1:7" x14ac:dyDescent="0.4">
      <c r="A27" t="s">
        <v>75</v>
      </c>
      <c r="B27">
        <v>434</v>
      </c>
    </row>
    <row r="28" spans="1:7" x14ac:dyDescent="0.4">
      <c r="A28" t="s">
        <v>76</v>
      </c>
      <c r="B28">
        <v>675</v>
      </c>
    </row>
    <row r="29" spans="1:7" x14ac:dyDescent="0.4">
      <c r="A29" t="s">
        <v>77</v>
      </c>
      <c r="B29">
        <v>938</v>
      </c>
    </row>
    <row r="30" spans="1:7" x14ac:dyDescent="0.4">
      <c r="A30" t="s">
        <v>78</v>
      </c>
      <c r="B30">
        <v>1169</v>
      </c>
    </row>
    <row r="31" spans="1:7" x14ac:dyDescent="0.4">
      <c r="A31" t="s">
        <v>79</v>
      </c>
      <c r="B31">
        <v>1350</v>
      </c>
    </row>
    <row r="32" spans="1:7" x14ac:dyDescent="0.4">
      <c r="A32" t="s">
        <v>80</v>
      </c>
      <c r="B32">
        <v>1420</v>
      </c>
    </row>
    <row r="33" spans="1:7" x14ac:dyDescent="0.4">
      <c r="A33" t="s">
        <v>81</v>
      </c>
      <c r="B33">
        <v>1169</v>
      </c>
    </row>
    <row r="34" spans="1:7" x14ac:dyDescent="0.4">
      <c r="A34" t="s">
        <v>82</v>
      </c>
      <c r="B34">
        <v>838</v>
      </c>
    </row>
    <row r="35" spans="1:7" x14ac:dyDescent="0.4">
      <c r="A35" t="s">
        <v>83</v>
      </c>
      <c r="B35">
        <v>675</v>
      </c>
    </row>
    <row r="36" spans="1:7" x14ac:dyDescent="0.4">
      <c r="A36" t="s">
        <v>84</v>
      </c>
      <c r="B36">
        <v>376</v>
      </c>
    </row>
    <row r="37" spans="1:7" x14ac:dyDescent="0.4">
      <c r="A37" t="s">
        <v>85</v>
      </c>
      <c r="B37">
        <v>250</v>
      </c>
    </row>
    <row r="38" spans="1:7" x14ac:dyDescent="0.4">
      <c r="A38" t="s">
        <v>86</v>
      </c>
      <c r="B38">
        <v>130</v>
      </c>
    </row>
    <row r="39" spans="1:7" x14ac:dyDescent="0.4">
      <c r="A39" t="s">
        <v>87</v>
      </c>
      <c r="B39">
        <v>60</v>
      </c>
    </row>
    <row r="40" spans="1:7" x14ac:dyDescent="0.4">
      <c r="A40" t="s">
        <v>88</v>
      </c>
      <c r="B40">
        <v>25</v>
      </c>
    </row>
    <row r="41" spans="1:7" x14ac:dyDescent="0.4">
      <c r="A41" t="s">
        <v>89</v>
      </c>
      <c r="B41">
        <v>9</v>
      </c>
    </row>
    <row r="42" spans="1:7" x14ac:dyDescent="0.4">
      <c r="A42" t="s">
        <v>90</v>
      </c>
      <c r="B42">
        <v>3</v>
      </c>
    </row>
    <row r="43" spans="1:7" x14ac:dyDescent="0.4">
      <c r="A43" t="s">
        <v>91</v>
      </c>
      <c r="B43">
        <v>1</v>
      </c>
    </row>
    <row r="44" spans="1:7" x14ac:dyDescent="0.4">
      <c r="A44" s="3" t="s">
        <v>10</v>
      </c>
      <c r="B44" s="3">
        <v>10000</v>
      </c>
      <c r="C44" s="3"/>
      <c r="D44" s="3"/>
      <c r="E44" s="3"/>
      <c r="F44" s="3"/>
      <c r="G44" s="3"/>
    </row>
    <row r="45" spans="1:7" x14ac:dyDescent="0.4">
      <c r="A45" s="3"/>
      <c r="B45" s="3"/>
      <c r="C45" s="3"/>
      <c r="D45" s="3"/>
      <c r="E45" s="3"/>
      <c r="F45" s="3" t="s">
        <v>95</v>
      </c>
      <c r="G45" s="3" t="s">
        <v>134</v>
      </c>
    </row>
    <row r="46" spans="1:7" x14ac:dyDescent="0.4">
      <c r="A46" s="3" t="s">
        <v>97</v>
      </c>
      <c r="B46" s="3" t="s">
        <v>134</v>
      </c>
      <c r="C46" s="3"/>
      <c r="D46" s="3"/>
      <c r="E46" s="3"/>
      <c r="F46" s="3" t="s">
        <v>96</v>
      </c>
      <c r="G46" s="3" t="s">
        <v>134</v>
      </c>
    </row>
    <row r="47" spans="1:7" x14ac:dyDescent="0.4">
      <c r="A47" s="3"/>
      <c r="B47" s="3"/>
      <c r="C47" s="3"/>
      <c r="D47" s="3"/>
      <c r="E47" s="3"/>
      <c r="F47" s="3"/>
      <c r="G47" s="3"/>
    </row>
    <row r="48" spans="1:7" x14ac:dyDescent="0.4">
      <c r="A48" s="3" t="s">
        <v>12</v>
      </c>
      <c r="B48" s="3" t="s">
        <v>134</v>
      </c>
      <c r="C48" s="3"/>
      <c r="D48" s="3"/>
      <c r="E48" s="3"/>
      <c r="F48" s="3"/>
      <c r="G48" s="3"/>
    </row>
    <row r="61" spans="1:6" ht="15" thickBot="1" x14ac:dyDescent="0.45"/>
    <row r="62" spans="1:6" ht="77.599999999999994" thickBot="1" x14ac:dyDescent="0.45">
      <c r="A62" s="101" t="s">
        <v>128</v>
      </c>
      <c r="B62" s="102" t="s">
        <v>139</v>
      </c>
      <c r="C62" s="102" t="s">
        <v>132</v>
      </c>
      <c r="D62" s="103" t="s">
        <v>140</v>
      </c>
      <c r="E62" s="103" t="s">
        <v>133</v>
      </c>
      <c r="F62" t="s">
        <v>141</v>
      </c>
    </row>
    <row r="63" spans="1:6" ht="18.899999999999999" thickTop="1" thickBot="1" x14ac:dyDescent="0.45">
      <c r="A63" s="104">
        <v>0</v>
      </c>
      <c r="B63" s="105">
        <v>22</v>
      </c>
      <c r="C63" s="105">
        <v>0.5</v>
      </c>
      <c r="D63" s="106">
        <v>0.5</v>
      </c>
      <c r="E63" s="106">
        <f>D63</f>
        <v>0.5</v>
      </c>
      <c r="F63" s="3">
        <f>A63*B63</f>
        <v>0</v>
      </c>
    </row>
    <row r="64" spans="1:6" ht="18.45" thickBot="1" x14ac:dyDescent="0.45">
      <c r="A64" s="107">
        <v>1</v>
      </c>
      <c r="B64" s="108">
        <v>4</v>
      </c>
      <c r="C64" s="108">
        <v>0.1</v>
      </c>
      <c r="D64" s="109">
        <v>0.1</v>
      </c>
      <c r="E64" s="109">
        <f>D64+E63</f>
        <v>0.6</v>
      </c>
      <c r="F64">
        <f>A64*B64</f>
        <v>4</v>
      </c>
    </row>
    <row r="65" spans="1:6" ht="18.45" thickBot="1" x14ac:dyDescent="0.45">
      <c r="A65" s="107">
        <v>2</v>
      </c>
      <c r="B65" s="108">
        <v>28</v>
      </c>
      <c r="C65" s="108">
        <v>0.6</v>
      </c>
      <c r="D65" s="109">
        <v>0.6</v>
      </c>
      <c r="E65" s="109">
        <f t="shared" ref="E65:E83" si="3">D65+E64</f>
        <v>1.2</v>
      </c>
      <c r="F65">
        <f t="shared" ref="F65:F83" si="4">A65*B65</f>
        <v>56</v>
      </c>
    </row>
    <row r="66" spans="1:6" ht="18.45" thickBot="1" x14ac:dyDescent="0.45">
      <c r="A66" s="107">
        <v>3</v>
      </c>
      <c r="B66" s="108">
        <v>13</v>
      </c>
      <c r="C66" s="108">
        <v>0.3</v>
      </c>
      <c r="D66" s="109">
        <v>0.3</v>
      </c>
      <c r="E66" s="109">
        <f t="shared" si="3"/>
        <v>1.5</v>
      </c>
      <c r="F66">
        <f t="shared" si="4"/>
        <v>39</v>
      </c>
    </row>
    <row r="67" spans="1:6" ht="18.45" thickBot="1" x14ac:dyDescent="0.45">
      <c r="A67" s="107">
        <v>4</v>
      </c>
      <c r="B67" s="108">
        <v>11</v>
      </c>
      <c r="C67" s="108">
        <v>0.2</v>
      </c>
      <c r="D67" s="109">
        <v>0.2</v>
      </c>
      <c r="E67" s="109">
        <f t="shared" si="3"/>
        <v>1.7</v>
      </c>
      <c r="F67">
        <f t="shared" si="4"/>
        <v>44</v>
      </c>
    </row>
    <row r="68" spans="1:6" ht="18.45" thickBot="1" x14ac:dyDescent="0.45">
      <c r="A68" s="107">
        <v>5</v>
      </c>
      <c r="B68" s="108">
        <v>23</v>
      </c>
      <c r="C68" s="108">
        <v>0.5</v>
      </c>
      <c r="D68" s="109">
        <v>0.5</v>
      </c>
      <c r="E68" s="109">
        <f t="shared" si="3"/>
        <v>2.2000000000000002</v>
      </c>
      <c r="F68">
        <f t="shared" si="4"/>
        <v>115</v>
      </c>
    </row>
    <row r="69" spans="1:6" ht="18.45" thickBot="1" x14ac:dyDescent="0.45">
      <c r="A69" s="107">
        <v>6</v>
      </c>
      <c r="B69" s="108">
        <v>69</v>
      </c>
      <c r="C69" s="108">
        <v>1.5</v>
      </c>
      <c r="D69" s="109">
        <v>1.5</v>
      </c>
      <c r="E69" s="109">
        <f t="shared" si="3"/>
        <v>3.7</v>
      </c>
      <c r="F69">
        <f t="shared" si="4"/>
        <v>414</v>
      </c>
    </row>
    <row r="70" spans="1:6" ht="18.45" thickBot="1" x14ac:dyDescent="0.45">
      <c r="A70" s="107">
        <v>7</v>
      </c>
      <c r="B70" s="108">
        <v>32</v>
      </c>
      <c r="C70" s="108">
        <v>0.7</v>
      </c>
      <c r="D70" s="109">
        <v>0.7</v>
      </c>
      <c r="E70" s="109">
        <f t="shared" si="3"/>
        <v>4.4000000000000004</v>
      </c>
      <c r="F70">
        <f t="shared" si="4"/>
        <v>224</v>
      </c>
    </row>
    <row r="71" spans="1:6" ht="18.45" thickBot="1" x14ac:dyDescent="0.45">
      <c r="A71" s="107">
        <v>8</v>
      </c>
      <c r="B71" s="108">
        <v>85</v>
      </c>
      <c r="C71" s="108">
        <v>1.9</v>
      </c>
      <c r="D71" s="109">
        <v>1.9</v>
      </c>
      <c r="E71" s="109">
        <f t="shared" si="3"/>
        <v>6.3000000000000007</v>
      </c>
      <c r="F71">
        <f t="shared" si="4"/>
        <v>680</v>
      </c>
    </row>
    <row r="72" spans="1:6" ht="18.45" thickBot="1" x14ac:dyDescent="0.45">
      <c r="A72" s="107">
        <v>9</v>
      </c>
      <c r="B72" s="108">
        <v>127</v>
      </c>
      <c r="C72" s="108">
        <v>2.8</v>
      </c>
      <c r="D72" s="109">
        <v>2.8</v>
      </c>
      <c r="E72" s="109">
        <f t="shared" si="3"/>
        <v>9.1000000000000014</v>
      </c>
      <c r="F72">
        <f t="shared" si="4"/>
        <v>1143</v>
      </c>
    </row>
    <row r="73" spans="1:6" ht="18.45" thickBot="1" x14ac:dyDescent="0.45">
      <c r="A73" s="107">
        <v>10</v>
      </c>
      <c r="B73" s="108">
        <v>152</v>
      </c>
      <c r="C73" s="108">
        <v>3.4</v>
      </c>
      <c r="D73" s="109">
        <v>3.4</v>
      </c>
      <c r="E73" s="109">
        <f t="shared" si="3"/>
        <v>12.500000000000002</v>
      </c>
      <c r="F73">
        <f t="shared" si="4"/>
        <v>1520</v>
      </c>
    </row>
    <row r="74" spans="1:6" ht="18.45" thickBot="1" x14ac:dyDescent="0.45">
      <c r="A74" s="107">
        <v>11</v>
      </c>
      <c r="B74" s="108">
        <v>215</v>
      </c>
      <c r="C74" s="108">
        <v>4.8</v>
      </c>
      <c r="D74" s="109">
        <v>4.8</v>
      </c>
      <c r="E74" s="109">
        <f t="shared" si="3"/>
        <v>17.3</v>
      </c>
      <c r="F74">
        <f t="shared" si="4"/>
        <v>2365</v>
      </c>
    </row>
    <row r="75" spans="1:6" ht="18.45" thickBot="1" x14ac:dyDescent="0.45">
      <c r="A75" s="113">
        <v>12</v>
      </c>
      <c r="B75" s="114">
        <v>1204</v>
      </c>
      <c r="C75" s="114">
        <v>26.7</v>
      </c>
      <c r="D75" s="115">
        <v>26.8</v>
      </c>
      <c r="E75" s="115">
        <f t="shared" si="3"/>
        <v>44.1</v>
      </c>
      <c r="F75">
        <f t="shared" si="4"/>
        <v>14448</v>
      </c>
    </row>
    <row r="76" spans="1:6" ht="18.45" thickBot="1" x14ac:dyDescent="0.45">
      <c r="A76" s="116">
        <v>13</v>
      </c>
      <c r="B76" s="117">
        <v>422</v>
      </c>
      <c r="C76" s="117">
        <v>9.4</v>
      </c>
      <c r="D76" s="118">
        <v>9.4</v>
      </c>
      <c r="E76" s="119">
        <f t="shared" si="3"/>
        <v>53.5</v>
      </c>
      <c r="F76">
        <f t="shared" si="4"/>
        <v>5486</v>
      </c>
    </row>
    <row r="77" spans="1:6" ht="18.45" thickBot="1" x14ac:dyDescent="0.45">
      <c r="A77" s="107">
        <v>14</v>
      </c>
      <c r="B77" s="108">
        <v>628</v>
      </c>
      <c r="C77" s="108">
        <v>13.9</v>
      </c>
      <c r="D77" s="109">
        <v>14</v>
      </c>
      <c r="E77" s="109">
        <f t="shared" si="3"/>
        <v>67.5</v>
      </c>
      <c r="F77">
        <f t="shared" si="4"/>
        <v>8792</v>
      </c>
    </row>
    <row r="78" spans="1:6" ht="18.45" thickBot="1" x14ac:dyDescent="0.45">
      <c r="A78" s="107">
        <v>15</v>
      </c>
      <c r="B78" s="108">
        <v>212</v>
      </c>
      <c r="C78" s="108">
        <v>4.7</v>
      </c>
      <c r="D78" s="109">
        <v>4.7</v>
      </c>
      <c r="E78" s="109">
        <f t="shared" si="3"/>
        <v>72.2</v>
      </c>
      <c r="F78">
        <f t="shared" si="4"/>
        <v>3180</v>
      </c>
    </row>
    <row r="79" spans="1:6" ht="18.45" thickBot="1" x14ac:dyDescent="0.45">
      <c r="A79" s="107">
        <v>16</v>
      </c>
      <c r="B79" s="108">
        <v>687</v>
      </c>
      <c r="C79" s="108">
        <v>15.2</v>
      </c>
      <c r="D79" s="109">
        <v>15.3</v>
      </c>
      <c r="E79" s="109">
        <f t="shared" si="3"/>
        <v>87.5</v>
      </c>
      <c r="F79">
        <f t="shared" si="4"/>
        <v>10992</v>
      </c>
    </row>
    <row r="80" spans="1:6" ht="18.45" thickBot="1" x14ac:dyDescent="0.45">
      <c r="A80" s="107">
        <v>17</v>
      </c>
      <c r="B80" s="108">
        <v>167</v>
      </c>
      <c r="C80" s="108">
        <v>3.7</v>
      </c>
      <c r="D80" s="109">
        <v>3.7</v>
      </c>
      <c r="E80" s="109">
        <f t="shared" si="3"/>
        <v>91.2</v>
      </c>
      <c r="F80">
        <f t="shared" si="4"/>
        <v>2839</v>
      </c>
    </row>
    <row r="81" spans="1:6" ht="18.45" thickBot="1" x14ac:dyDescent="0.45">
      <c r="A81" s="107">
        <v>18</v>
      </c>
      <c r="B81" s="108">
        <v>208</v>
      </c>
      <c r="C81" s="108">
        <v>4.5999999999999996</v>
      </c>
      <c r="D81" s="109">
        <v>4.5999999999999996</v>
      </c>
      <c r="E81" s="109">
        <f t="shared" si="3"/>
        <v>95.8</v>
      </c>
      <c r="F81">
        <f t="shared" si="4"/>
        <v>3744</v>
      </c>
    </row>
    <row r="82" spans="1:6" ht="18.45" thickBot="1" x14ac:dyDescent="0.45">
      <c r="A82" s="107">
        <v>19</v>
      </c>
      <c r="B82" s="108">
        <v>78</v>
      </c>
      <c r="C82" s="108">
        <v>1.7</v>
      </c>
      <c r="D82" s="109">
        <v>1.7</v>
      </c>
      <c r="E82" s="109">
        <f t="shared" si="3"/>
        <v>97.5</v>
      </c>
      <c r="F82">
        <f t="shared" si="4"/>
        <v>1482</v>
      </c>
    </row>
    <row r="83" spans="1:6" ht="18.45" thickBot="1" x14ac:dyDescent="0.45">
      <c r="A83" s="107">
        <v>20</v>
      </c>
      <c r="B83" s="108">
        <v>112</v>
      </c>
      <c r="C83" s="108">
        <v>2.5</v>
      </c>
      <c r="D83" s="109">
        <v>2.5</v>
      </c>
      <c r="E83" s="109">
        <f t="shared" si="3"/>
        <v>100</v>
      </c>
      <c r="F83">
        <f t="shared" si="4"/>
        <v>2240</v>
      </c>
    </row>
    <row r="84" spans="1:6" ht="18.45" thickBot="1" x14ac:dyDescent="0.45">
      <c r="A84" s="111" t="s">
        <v>10</v>
      </c>
      <c r="B84" s="110">
        <v>4499</v>
      </c>
      <c r="C84" s="108">
        <v>99.8</v>
      </c>
      <c r="D84" s="109">
        <v>100</v>
      </c>
      <c r="E84" s="112" t="s">
        <v>95</v>
      </c>
      <c r="F84" s="3">
        <f>SUM(F63:F83)</f>
        <v>59807</v>
      </c>
    </row>
    <row r="86" spans="1:6" x14ac:dyDescent="0.4">
      <c r="E86" t="s">
        <v>96</v>
      </c>
      <c r="F86" s="6">
        <f>F84/B84</f>
        <v>13.293398533007334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Sheet2</vt:lpstr>
      <vt:lpstr>Sheet1</vt:lpstr>
      <vt:lpstr>Student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2022-09-11T05:14:14Z</dcterms:created>
  <dcterms:modified xsi:type="dcterms:W3CDTF">2023-09-28T12:56:17Z</dcterms:modified>
</cp:coreProperties>
</file>