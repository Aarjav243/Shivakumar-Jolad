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DataSheets\"/>
    </mc:Choice>
  </mc:AlternateContent>
  <xr:revisionPtr revIDLastSave="0" documentId="13_ncr:1_{626FAA9B-6233-473C-83A9-0CC266030972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Exercise" sheetId="4" r:id="rId1"/>
    <sheet name="Sheet2" sheetId="2" r:id="rId2"/>
    <sheet name="Sheet3" sheetId="3" r:id="rId3"/>
    <sheet name="Sheet1" sheetId="5" r:id="rId4"/>
  </sheets>
  <definedNames>
    <definedName name="_xlchart.v1.0" hidden="1">Exercise!$A$20</definedName>
    <definedName name="_xlchart.v1.1" hidden="1">Exercise!$A$21</definedName>
    <definedName name="_xlchart.v1.10" hidden="1">Exercise!$B$22:$H$22</definedName>
    <definedName name="_xlchart.v1.11" hidden="1">Exercise!$B$23:$H$23</definedName>
    <definedName name="_xlchart.v1.12" hidden="1">Exercise!$B$24:$H$24</definedName>
    <definedName name="_xlchart.v1.13" hidden="1">Exercise!$B$25:$H$25</definedName>
    <definedName name="_xlchart.v1.14" hidden="1">Exercise!$B$26:$H$26</definedName>
    <definedName name="_xlchart.v1.15" hidden="1">Exercise!$A$20</definedName>
    <definedName name="_xlchart.v1.16" hidden="1">Exercise!$A$21</definedName>
    <definedName name="_xlchart.v1.17" hidden="1">Exercise!$A$22</definedName>
    <definedName name="_xlchart.v1.18" hidden="1">Exercise!$A$23</definedName>
    <definedName name="_xlchart.v1.19" hidden="1">Exercise!$A$24</definedName>
    <definedName name="_xlchart.v1.2" hidden="1">Exercise!$A$22</definedName>
    <definedName name="_xlchart.v1.20" hidden="1">Exercise!$A$25</definedName>
    <definedName name="_xlchart.v1.21" hidden="1">Exercise!$A$26</definedName>
    <definedName name="_xlchart.v1.22" hidden="1">Exercise!$B$19:$H$19</definedName>
    <definedName name="_xlchart.v1.23" hidden="1">Exercise!$B$20:$H$20</definedName>
    <definedName name="_xlchart.v1.24" hidden="1">Exercise!$B$21:$H$21</definedName>
    <definedName name="_xlchart.v1.25" hidden="1">Exercise!$B$22:$H$22</definedName>
    <definedName name="_xlchart.v1.26" hidden="1">Exercise!$B$23:$H$23</definedName>
    <definedName name="_xlchart.v1.27" hidden="1">Exercise!$B$24:$H$24</definedName>
    <definedName name="_xlchart.v1.28" hidden="1">Exercise!$B$25:$H$25</definedName>
    <definedName name="_xlchart.v1.29" hidden="1">Exercise!$B$26:$H$26</definedName>
    <definedName name="_xlchart.v1.3" hidden="1">Exercise!$A$23</definedName>
    <definedName name="_xlchart.v1.30" hidden="1">Exercise!$A$20</definedName>
    <definedName name="_xlchart.v1.31" hidden="1">Exercise!$A$21</definedName>
    <definedName name="_xlchart.v1.32" hidden="1">Exercise!$A$22</definedName>
    <definedName name="_xlchart.v1.33" hidden="1">Exercise!$A$23</definedName>
    <definedName name="_xlchart.v1.34" hidden="1">Exercise!$A$24</definedName>
    <definedName name="_xlchart.v1.35" hidden="1">Exercise!$A$25</definedName>
    <definedName name="_xlchart.v1.36" hidden="1">Exercise!$A$26</definedName>
    <definedName name="_xlchart.v1.37" hidden="1">Exercise!$B$19:$H$19</definedName>
    <definedName name="_xlchart.v1.38" hidden="1">Exercise!$B$20:$H$20</definedName>
    <definedName name="_xlchart.v1.39" hidden="1">Exercise!$B$21:$H$21</definedName>
    <definedName name="_xlchart.v1.4" hidden="1">Exercise!$A$24</definedName>
    <definedName name="_xlchart.v1.40" hidden="1">Exercise!$B$22:$H$22</definedName>
    <definedName name="_xlchart.v1.41" hidden="1">Exercise!$B$23:$H$23</definedName>
    <definedName name="_xlchart.v1.42" hidden="1">Exercise!$B$24:$H$24</definedName>
    <definedName name="_xlchart.v1.43" hidden="1">Exercise!$B$25:$H$25</definedName>
    <definedName name="_xlchart.v1.44" hidden="1">Exercise!$B$26:$H$26</definedName>
    <definedName name="_xlchart.v1.5" hidden="1">Exercise!$A$25</definedName>
    <definedName name="_xlchart.v1.6" hidden="1">Exercise!$A$26</definedName>
    <definedName name="_xlchart.v1.7" hidden="1">Exercise!$B$19:$H$19</definedName>
    <definedName name="_xlchart.v1.8" hidden="1">Exercise!$B$20:$H$20</definedName>
    <definedName name="_xlchart.v1.9" hidden="1">Exercise!$B$21:$H$21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5" l="1"/>
  <c r="D10" i="5"/>
  <c r="E10" i="5"/>
  <c r="F10" i="5"/>
  <c r="G10" i="5"/>
  <c r="H10" i="5"/>
  <c r="B10" i="5"/>
  <c r="H42" i="4"/>
  <c r="H34" i="4"/>
  <c r="F42" i="4"/>
  <c r="F34" i="4"/>
  <c r="E34" i="4"/>
  <c r="E12" i="4"/>
  <c r="E9" i="4"/>
  <c r="D9" i="4"/>
  <c r="E3" i="4"/>
  <c r="H35" i="4"/>
  <c r="H36" i="4"/>
  <c r="H37" i="4"/>
  <c r="H38" i="4"/>
  <c r="H39" i="4"/>
  <c r="H40" i="4"/>
  <c r="F35" i="4"/>
  <c r="F36" i="4"/>
  <c r="F37" i="4"/>
  <c r="F38" i="4"/>
  <c r="F39" i="4"/>
  <c r="F40" i="4"/>
  <c r="E35" i="4"/>
  <c r="E36" i="4"/>
  <c r="E37" i="4"/>
  <c r="E38" i="4"/>
  <c r="E39" i="4"/>
  <c r="E40" i="4"/>
  <c r="I21" i="4"/>
  <c r="I22" i="4"/>
  <c r="I23" i="4"/>
  <c r="I24" i="4"/>
  <c r="I25" i="4"/>
  <c r="I26" i="4"/>
  <c r="I20" i="4"/>
  <c r="D4" i="4"/>
  <c r="D5" i="4"/>
  <c r="D6" i="4"/>
  <c r="D7" i="4"/>
  <c r="D8" i="4"/>
  <c r="E8" i="4" s="1"/>
  <c r="D3" i="4"/>
  <c r="E4" i="4"/>
  <c r="E5" i="4"/>
  <c r="E6" i="4"/>
  <c r="E7" i="4"/>
  <c r="C10" i="4"/>
  <c r="B10" i="4"/>
  <c r="B12" i="4" s="1"/>
  <c r="F89" i="2" l="1"/>
  <c r="F81" i="2"/>
  <c r="F82" i="2"/>
  <c r="F83" i="2"/>
  <c r="F84" i="2"/>
  <c r="F85" i="2"/>
  <c r="F86" i="2"/>
  <c r="F87" i="2"/>
  <c r="F80" i="2"/>
  <c r="E89" i="2"/>
  <c r="E81" i="2"/>
  <c r="E82" i="2"/>
  <c r="E83" i="2"/>
  <c r="E84" i="2"/>
  <c r="E85" i="2"/>
  <c r="E86" i="2"/>
  <c r="E87" i="2"/>
  <c r="E80" i="2"/>
  <c r="I40" i="2"/>
  <c r="G40" i="2"/>
  <c r="I33" i="2"/>
  <c r="I34" i="2"/>
  <c r="I35" i="2"/>
  <c r="I36" i="2"/>
  <c r="I37" i="2"/>
  <c r="I38" i="2"/>
  <c r="I32" i="2"/>
  <c r="G33" i="2"/>
  <c r="G34" i="2"/>
  <c r="G35" i="2"/>
  <c r="G36" i="2"/>
  <c r="G37" i="2"/>
  <c r="G38" i="2"/>
  <c r="G32" i="2"/>
  <c r="F33" i="2"/>
  <c r="F34" i="2"/>
  <c r="F35" i="2"/>
  <c r="F36" i="2"/>
  <c r="F37" i="2"/>
  <c r="F38" i="2"/>
  <c r="F32" i="2"/>
  <c r="E33" i="2"/>
  <c r="E34" i="2"/>
  <c r="E35" i="2"/>
  <c r="E36" i="2"/>
  <c r="E37" i="2"/>
  <c r="E38" i="2"/>
  <c r="E32" i="2"/>
  <c r="I19" i="2"/>
  <c r="I20" i="2"/>
  <c r="I21" i="2"/>
  <c r="I22" i="2"/>
  <c r="I23" i="2"/>
  <c r="I24" i="2"/>
  <c r="I18" i="2"/>
  <c r="E4" i="2"/>
  <c r="E13" i="2"/>
  <c r="E5" i="2"/>
  <c r="E6" i="2"/>
  <c r="E7" i="2"/>
  <c r="E8" i="2"/>
  <c r="E9" i="2"/>
  <c r="E10" i="2"/>
  <c r="D11" i="2"/>
  <c r="D5" i="2"/>
  <c r="D6" i="2"/>
  <c r="D7" i="2"/>
  <c r="D8" i="2"/>
  <c r="D9" i="2"/>
  <c r="D10" i="2"/>
  <c r="D4" i="2"/>
  <c r="F74" i="2"/>
  <c r="E74" i="2"/>
  <c r="I46" i="2"/>
  <c r="I47" i="2"/>
  <c r="I48" i="2"/>
  <c r="I49" i="2"/>
  <c r="I50" i="2"/>
  <c r="I51" i="2"/>
  <c r="I45" i="2"/>
  <c r="G46" i="2"/>
  <c r="G47" i="2"/>
  <c r="G48" i="2"/>
  <c r="G49" i="2"/>
  <c r="G50" i="2"/>
  <c r="G51" i="2"/>
  <c r="G45" i="2"/>
  <c r="F46" i="2"/>
  <c r="F47" i="2"/>
  <c r="F48" i="2"/>
  <c r="F49" i="2"/>
  <c r="F50" i="2"/>
  <c r="F51" i="2"/>
  <c r="F45" i="2"/>
  <c r="E46" i="2"/>
  <c r="E47" i="2"/>
  <c r="E48" i="2"/>
  <c r="E49" i="2"/>
  <c r="E50" i="2"/>
  <c r="E51" i="2"/>
  <c r="E45" i="2"/>
  <c r="C11" i="2"/>
  <c r="B11" i="2"/>
</calcChain>
</file>

<file path=xl/sharedStrings.xml><?xml version="1.0" encoding="utf-8"?>
<sst xmlns="http://schemas.openxmlformats.org/spreadsheetml/2006/main" count="182" uniqueCount="77">
  <si>
    <t>Table 3.1. Fertility data and rates for the United States in 2005</t>
  </si>
  <si>
    <t>Age group</t>
  </si>
  <si>
    <t>15-19</t>
  </si>
  <si>
    <t>20-24</t>
  </si>
  <si>
    <t>25-29</t>
  </si>
  <si>
    <t>30-34</t>
  </si>
  <si>
    <t>35-39</t>
  </si>
  <si>
    <t>40-44</t>
  </si>
  <si>
    <t>45-49∗</t>
  </si>
  <si>
    <t>TFR</t>
  </si>
  <si>
    <t>GFR</t>
  </si>
  <si>
    <t>Total</t>
  </si>
  <si>
    <t>1970-1974</t>
  </si>
  <si>
    <t>1975-1979</t>
  </si>
  <si>
    <t>1980-1984</t>
  </si>
  <si>
    <t>1985-1989</t>
  </si>
  <si>
    <t>1990-1994</t>
  </si>
  <si>
    <t>1995-1999</t>
  </si>
  <si>
    <t>2000-2004</t>
  </si>
  <si>
    <t>Table 3.3. Calculation of gross reproduction rate (GRR) and net reproduction (NRR), United States</t>
  </si>
  <si>
    <t>Midpoint</t>
  </si>
  <si>
    <t>Women in the age group</t>
  </si>
  <si>
    <t>Live births to women in the age group</t>
  </si>
  <si>
    <t>ASFR</t>
  </si>
  <si>
    <t>year/age-interval</t>
  </si>
  <si>
    <t>Age Group</t>
  </si>
  <si>
    <t>No of Females births</t>
  </si>
  <si>
    <t>Female Births per women</t>
  </si>
  <si>
    <t>Female Births during 5-year interval</t>
  </si>
  <si>
    <t>Survving daughters per women during 5-year interval</t>
  </si>
  <si>
    <t>Age specific fertility Rate (ASFR) per 1000</t>
  </si>
  <si>
    <t>ASFR*5</t>
  </si>
  <si>
    <t>Table 3.2. Age-specific fertility rates, United States, 1970–1974 to 2000–2004</t>
  </si>
  <si>
    <r>
      <t xml:space="preserve">Table 3.3. </t>
    </r>
    <r>
      <rPr>
        <b/>
        <sz val="9"/>
        <color rgb="FFFFFFFF"/>
        <rFont val="Serifa-Bold"/>
      </rPr>
      <t>Calculation of gross reproduction rate (GRR) and net reproduction (NRR), United States</t>
    </r>
  </si>
  <si>
    <t>No of births to Women in age group</t>
  </si>
  <si>
    <t>Number of women in the age group</t>
  </si>
  <si>
    <t>L(x,n)-mothers</t>
  </si>
  <si>
    <t>Age X</t>
  </si>
  <si>
    <t>Sum</t>
  </si>
  <si>
    <t>W(x,n)</t>
  </si>
  <si>
    <t>B(x,n)</t>
  </si>
  <si>
    <t>L(x,n)</t>
  </si>
  <si>
    <t>Preston- Demography - Box 5.5</t>
  </si>
  <si>
    <t xml:space="preserve">US women - 1991 </t>
  </si>
  <si>
    <t>F(x,n)^F</t>
  </si>
  <si>
    <t>F(x,n)^F*L(x,n)</t>
  </si>
  <si>
    <t>GRR</t>
  </si>
  <si>
    <t>Age-specific fertility rates (births per thousand women)- 2005-2010</t>
  </si>
  <si>
    <t>Country</t>
  </si>
  <si>
    <t>China</t>
  </si>
  <si>
    <t>India</t>
  </si>
  <si>
    <t>Japan</t>
  </si>
  <si>
    <t>United Kingdom</t>
  </si>
  <si>
    <t>Rwanda</t>
  </si>
  <si>
    <t>45-49</t>
  </si>
  <si>
    <t>Female Births per women during 5-year interval</t>
  </si>
  <si>
    <t>Female Babies surviving momen to the end of age interval</t>
  </si>
  <si>
    <t>B(x,n)^F</t>
  </si>
  <si>
    <t>F(x,n)^F*L(x,n)/l(0)</t>
  </si>
  <si>
    <t>Female Births per 1000 women</t>
  </si>
  <si>
    <t/>
  </si>
  <si>
    <t>Age x</t>
  </si>
  <si>
    <t>W(x,5)</t>
  </si>
  <si>
    <t>B(x,5)^F</t>
  </si>
  <si>
    <t>L(x,n)^F</t>
  </si>
  <si>
    <t>L(x,n)^F* F(x,n)^F</t>
  </si>
  <si>
    <t>Table 3.2. Age-specific fertility rates (Per thousand), United States, 1970–1974 to 2000–2004</t>
  </si>
  <si>
    <t>NRR</t>
  </si>
  <si>
    <t xml:space="preserve">State not this one fertility data </t>
  </si>
  <si>
    <t>Surviving women ratio</t>
  </si>
  <si>
    <t>1960 - 64</t>
  </si>
  <si>
    <t>1965 - 69</t>
  </si>
  <si>
    <t>1970 - 74</t>
  </si>
  <si>
    <t>1975 - 79</t>
  </si>
  <si>
    <t>1980 - 84</t>
  </si>
  <si>
    <t>1985– 89</t>
  </si>
  <si>
    <t>1990 - 94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</si>
</sst>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00000"/>
    <numFmt numFmtId="165" formatCode="0.00000"/>
    <numFmt numFmtId="166" formatCode="_ * #,##0.0_ ;_ * \-#,##0.0_ ;_ * &quot;-&quot;??_ ;_ @_ "/>
    <numFmt numFmtId="167" formatCode="_ * #,##0_ ;_ * \-#,##0_ ;_ * &quot;-&quot;??_ ;_ @_ "/>
    <numFmt numFmtId="168" formatCode="0.0000"/>
    <numFmt numFmtId="169" formatCode="0.000"/>
    <numFmt numFmtId="170" formatCode="0.0"/>
  </numFmts>
  <fonts count="11"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sz val="9"/>
      <color rgb="FFFFFFFF"/>
      <name val="Serifa-Black"/>
    </font>
    <font>
      <b/>
      <sz val="9"/>
      <color rgb="FFFFFFFF"/>
      <name val="Serifa-Bold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2" fontId="0" fillId="0" borderId="0" xfId="1" applyNumberFormat="1" applyFont="1"/>
    <xf numFmtId="2" fontId="4" fillId="0" borderId="0" xfId="1" applyNumberFormat="1" applyFont="1"/>
    <xf numFmtId="164" fontId="0" fillId="0" borderId="0" xfId="0" applyNumberFormat="1"/>
    <xf numFmtId="165" fontId="0" fillId="0" borderId="0" xfId="0" applyNumberFormat="1"/>
    <xf numFmtId="2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0" fontId="3" fillId="0" borderId="0" xfId="0" applyFont="1" applyAlignment="1">
      <alignment wrapText="1"/>
    </xf>
    <xf numFmtId="166" fontId="4" fillId="0" borderId="0" xfId="2" applyNumberFormat="1" applyFont="1"/>
    <xf numFmtId="167" fontId="4" fillId="0" borderId="0" xfId="2" applyNumberFormat="1" applyFont="1"/>
    <xf numFmtId="168" fontId="4" fillId="0" borderId="0" xfId="0" applyNumberFormat="1" applyFont="1"/>
    <xf numFmtId="169" fontId="0" fillId="0" borderId="0" xfId="1" applyNumberFormat="1" applyFont="1"/>
    <xf numFmtId="169" fontId="0" fillId="0" borderId="0" xfId="0" applyNumberFormat="1"/>
    <xf numFmtId="169" fontId="4" fillId="0" borderId="0" xfId="0" applyNumberFormat="1" applyFont="1"/>
    <xf numFmtId="170" fontId="4" fillId="0" borderId="0" xfId="0" applyNumberFormat="1" applyFont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Exercise!$A$20</c:f>
              <c:strCache>
                <c:ptCount val="1"/>
                <c:pt idx="0">
                  <c:v>1970-1974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Exercise!$B$19:$H$19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xVal>
          <c:yVal>
            <c:numRef>
              <c:f>Exercise!$B$20:$H$20</c:f>
              <c:numCache>
                <c:formatCode>General</c:formatCode>
                <c:ptCount val="7"/>
                <c:pt idx="0">
                  <c:v>62.3</c:v>
                </c:pt>
                <c:pt idx="1">
                  <c:v>137.1</c:v>
                </c:pt>
                <c:pt idx="2">
                  <c:v>124.1</c:v>
                </c:pt>
                <c:pt idx="3">
                  <c:v>61.9</c:v>
                </c:pt>
                <c:pt idx="4">
                  <c:v>25.5</c:v>
                </c:pt>
                <c:pt idx="5">
                  <c:v>6.2</c:v>
                </c:pt>
                <c:pt idx="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3-423F-BB20-5E01776C8257}"/>
            </c:ext>
          </c:extLst>
        </c:ser>
        <c:ser>
          <c:idx val="1"/>
          <c:order val="1"/>
          <c:tx>
            <c:strRef>
              <c:f>Exercise!$A$21</c:f>
              <c:strCache>
                <c:ptCount val="1"/>
                <c:pt idx="0">
                  <c:v>1975-1979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Exercise!$B$19:$H$19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xVal>
          <c:yVal>
            <c:numRef>
              <c:f>Exercise!$B$21:$H$21</c:f>
              <c:numCache>
                <c:formatCode>General</c:formatCode>
                <c:ptCount val="7"/>
                <c:pt idx="0">
                  <c:v>53</c:v>
                </c:pt>
                <c:pt idx="1">
                  <c:v>111.8</c:v>
                </c:pt>
                <c:pt idx="2">
                  <c:v>109.1</c:v>
                </c:pt>
                <c:pt idx="3">
                  <c:v>112.4</c:v>
                </c:pt>
                <c:pt idx="4">
                  <c:v>19.2</c:v>
                </c:pt>
                <c:pt idx="5">
                  <c:v>4.2</c:v>
                </c:pt>
                <c:pt idx="6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3-423F-BB20-5E01776C8257}"/>
            </c:ext>
          </c:extLst>
        </c:ser>
        <c:ser>
          <c:idx val="2"/>
          <c:order val="2"/>
          <c:tx>
            <c:strRef>
              <c:f>Exercise!$A$22</c:f>
              <c:strCache>
                <c:ptCount val="1"/>
                <c:pt idx="0">
                  <c:v>1980-1984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Exercise!$B$19:$H$19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xVal>
          <c:yVal>
            <c:numRef>
              <c:f>Exercise!$B$22:$H$22</c:f>
              <c:numCache>
                <c:formatCode>General</c:formatCode>
                <c:ptCount val="7"/>
                <c:pt idx="0">
                  <c:v>51.9</c:v>
                </c:pt>
                <c:pt idx="1">
                  <c:v>110.7</c:v>
                </c:pt>
                <c:pt idx="2">
                  <c:v>110.5</c:v>
                </c:pt>
                <c:pt idx="3">
                  <c:v>63.9</c:v>
                </c:pt>
                <c:pt idx="4">
                  <c:v>21.2</c:v>
                </c:pt>
                <c:pt idx="5">
                  <c:v>3.9</c:v>
                </c:pt>
                <c:pt idx="6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3-423F-BB20-5E01776C8257}"/>
            </c:ext>
          </c:extLst>
        </c:ser>
        <c:ser>
          <c:idx val="3"/>
          <c:order val="3"/>
          <c:tx>
            <c:strRef>
              <c:f>Exercise!$A$23</c:f>
              <c:strCache>
                <c:ptCount val="1"/>
                <c:pt idx="0">
                  <c:v>1985-1989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Exercise!$B$19:$H$19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xVal>
          <c:yVal>
            <c:numRef>
              <c:f>Exercise!$B$23:$H$23</c:f>
              <c:numCache>
                <c:formatCode>General</c:formatCode>
                <c:ptCount val="7"/>
                <c:pt idx="0">
                  <c:v>52.4</c:v>
                </c:pt>
                <c:pt idx="1">
                  <c:v>109.5</c:v>
                </c:pt>
                <c:pt idx="2">
                  <c:v>112.9</c:v>
                </c:pt>
                <c:pt idx="3">
                  <c:v>72.7</c:v>
                </c:pt>
                <c:pt idx="4">
                  <c:v>26.5</c:v>
                </c:pt>
                <c:pt idx="5">
                  <c:v>11.3</c:v>
                </c:pt>
                <c:pt idx="6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3-423F-BB20-5E01776C8257}"/>
            </c:ext>
          </c:extLst>
        </c:ser>
        <c:ser>
          <c:idx val="4"/>
          <c:order val="4"/>
          <c:tx>
            <c:strRef>
              <c:f>Exercise!$A$24</c:f>
              <c:strCache>
                <c:ptCount val="1"/>
                <c:pt idx="0">
                  <c:v>1990-1994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Exercise!$B$19:$H$19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xVal>
          <c:yVal>
            <c:numRef>
              <c:f>Exercise!$B$24:$H$24</c:f>
              <c:numCache>
                <c:formatCode>General</c:formatCode>
                <c:ptCount val="7"/>
                <c:pt idx="0">
                  <c:v>59.8</c:v>
                </c:pt>
                <c:pt idx="1">
                  <c:v>113.2</c:v>
                </c:pt>
                <c:pt idx="2">
                  <c:v>115.5</c:v>
                </c:pt>
                <c:pt idx="3">
                  <c:v>80</c:v>
                </c:pt>
                <c:pt idx="4">
                  <c:v>32.4</c:v>
                </c:pt>
                <c:pt idx="5">
                  <c:v>5.9</c:v>
                </c:pt>
                <c:pt idx="6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13-423F-BB20-5E01776C8257}"/>
            </c:ext>
          </c:extLst>
        </c:ser>
        <c:ser>
          <c:idx val="5"/>
          <c:order val="5"/>
          <c:tx>
            <c:strRef>
              <c:f>Exercise!$A$25</c:f>
              <c:strCache>
                <c:ptCount val="1"/>
                <c:pt idx="0">
                  <c:v>1995-1999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Exercise!$B$19:$H$19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xVal>
          <c:yVal>
            <c:numRef>
              <c:f>Exercise!$B$25:$H$25</c:f>
              <c:numCache>
                <c:formatCode>General</c:formatCode>
                <c:ptCount val="7"/>
                <c:pt idx="0">
                  <c:v>52</c:v>
                </c:pt>
                <c:pt idx="1">
                  <c:v>107.8</c:v>
                </c:pt>
                <c:pt idx="2">
                  <c:v>109.4</c:v>
                </c:pt>
                <c:pt idx="3">
                  <c:v>83.7</c:v>
                </c:pt>
                <c:pt idx="4">
                  <c:v>35.9</c:v>
                </c:pt>
                <c:pt idx="5">
                  <c:v>7.1</c:v>
                </c:pt>
                <c:pt idx="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3-423F-BB20-5E01776C8257}"/>
            </c:ext>
          </c:extLst>
        </c:ser>
        <c:ser>
          <c:idx val="6"/>
          <c:order val="6"/>
          <c:tx>
            <c:strRef>
              <c:f>Exercise!$A$26</c:f>
              <c:strCache>
                <c:ptCount val="1"/>
                <c:pt idx="0">
                  <c:v>2000-2004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Exercise!$B$19:$H$19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xVal>
          <c:yVal>
            <c:numRef>
              <c:f>Exercise!$B$26:$H$26</c:f>
              <c:numCache>
                <c:formatCode>General</c:formatCode>
                <c:ptCount val="7"/>
                <c:pt idx="0">
                  <c:v>43.7</c:v>
                </c:pt>
                <c:pt idx="1">
                  <c:v>104.8</c:v>
                </c:pt>
                <c:pt idx="2">
                  <c:v>114.3</c:v>
                </c:pt>
                <c:pt idx="3">
                  <c:v>93</c:v>
                </c:pt>
                <c:pt idx="4">
                  <c:v>42.2</c:v>
                </c:pt>
                <c:pt idx="5">
                  <c:v>8.4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13-423F-BB20-5E01776C8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453247"/>
        <c:axId val="1572188383"/>
      </c:scatterChart>
      <c:valAx>
        <c:axId val="156845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88383"/>
        <c:crosses val="autoZero"/>
        <c:crossBetween val="midCat"/>
      </c:valAx>
      <c:valAx>
        <c:axId val="15721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5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Sheet2!$I$17</c:f>
              <c:strCache>
                <c:ptCount val="1"/>
                <c:pt idx="0">
                  <c:v>TFR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Sheet2!$A$18:$A$24</c:f>
              <c:strCache>
                <c:ptCount val="7"/>
                <c:pt idx="0">
                  <c:v>1970-1974</c:v>
                </c:pt>
                <c:pt idx="1">
                  <c:v>1975-1979</c:v>
                </c:pt>
                <c:pt idx="2">
                  <c:v>1980-1984</c:v>
                </c:pt>
                <c:pt idx="3">
                  <c:v>1985-1989</c:v>
                </c:pt>
                <c:pt idx="4">
                  <c:v>1990-1994</c:v>
                </c:pt>
                <c:pt idx="5">
                  <c:v>1995-1999</c:v>
                </c:pt>
                <c:pt idx="6">
                  <c:v>2000-2004</c:v>
                </c:pt>
              </c:strCache>
            </c:strRef>
          </c:cat>
          <c:val>
            <c:numRef>
              <c:f>Sheet2!$I$18:$I$24</c:f>
              <c:numCache>
                <c:formatCode>0.00</c:formatCode>
                <c:ptCount val="7"/>
                <c:pt idx="0">
                  <c:v>2.0874999999999995</c:v>
                </c:pt>
                <c:pt idx="1">
                  <c:v>2.0494999999999997</c:v>
                </c:pt>
                <c:pt idx="2">
                  <c:v>1.8114999999999997</c:v>
                </c:pt>
                <c:pt idx="3">
                  <c:v>1.9275</c:v>
                </c:pt>
                <c:pt idx="4">
                  <c:v>2.0354999999999999</c:v>
                </c:pt>
                <c:pt idx="5">
                  <c:v>1.9815</c:v>
                </c:pt>
                <c:pt idx="6">
                  <c:v>2.0345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F-45B0-B897-788388BD6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65871"/>
        <c:axId val="77427391"/>
      </c:lineChart>
      <c:catAx>
        <c:axId val="18656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7391"/>
        <c:crosses val="autoZero"/>
        <c:auto val="1"/>
        <c:lblAlgn val="ctr"/>
        <c:lblOffset val="100"/>
        <c:noMultiLvlLbl val="0"/>
      </c:catAx>
      <c:valAx>
        <c:axId val="774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Sheet2!$A$18</c:f>
              <c:strCache>
                <c:ptCount val="1"/>
                <c:pt idx="0">
                  <c:v>1970-1974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Sheet2!$B$17:$H$17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cat>
          <c:val>
            <c:numRef>
              <c:f>Sheet2!$B$18:$H$18</c:f>
              <c:numCache>
                <c:formatCode>General</c:formatCode>
                <c:ptCount val="7"/>
                <c:pt idx="0">
                  <c:v>62.3</c:v>
                </c:pt>
                <c:pt idx="1">
                  <c:v>137.1</c:v>
                </c:pt>
                <c:pt idx="2">
                  <c:v>124.1</c:v>
                </c:pt>
                <c:pt idx="3">
                  <c:v>61.9</c:v>
                </c:pt>
                <c:pt idx="4">
                  <c:v>25.5</c:v>
                </c:pt>
                <c:pt idx="5">
                  <c:v>6.2</c:v>
                </c:pt>
                <c:pt idx="6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9-4D23-8772-E24379F00F6A}"/>
            </c:ext>
          </c:extLst>
        </c:ser>
        <c:ser>
          <c:idx val="1"/>
          <c:order val="1"/>
          <c:tx>
            <c:strRef>
              <c:f>Sheet2!$A$19</c:f>
              <c:strCache>
                <c:ptCount val="1"/>
                <c:pt idx="0">
                  <c:v>1975-1979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Sheet2!$B$17:$H$17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cat>
          <c:val>
            <c:numRef>
              <c:f>Sheet2!$B$19:$H$19</c:f>
              <c:numCache>
                <c:formatCode>General</c:formatCode>
                <c:ptCount val="7"/>
                <c:pt idx="0">
                  <c:v>53</c:v>
                </c:pt>
                <c:pt idx="1">
                  <c:v>111.8</c:v>
                </c:pt>
                <c:pt idx="2">
                  <c:v>109.1</c:v>
                </c:pt>
                <c:pt idx="3">
                  <c:v>112.4</c:v>
                </c:pt>
                <c:pt idx="4">
                  <c:v>19.2</c:v>
                </c:pt>
                <c:pt idx="5">
                  <c:v>4.2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F9-4D23-8772-E24379F00F6A}"/>
            </c:ext>
          </c:extLst>
        </c:ser>
        <c:ser>
          <c:idx val="2"/>
          <c:order val="2"/>
          <c:tx>
            <c:strRef>
              <c:f>Sheet2!$A$20</c:f>
              <c:strCache>
                <c:ptCount val="1"/>
                <c:pt idx="0">
                  <c:v>1980-1984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Sheet2!$B$17:$H$17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cat>
          <c:val>
            <c:numRef>
              <c:f>Sheet2!$B$20:$H$20</c:f>
              <c:numCache>
                <c:formatCode>General</c:formatCode>
                <c:ptCount val="7"/>
                <c:pt idx="0">
                  <c:v>51.9</c:v>
                </c:pt>
                <c:pt idx="1">
                  <c:v>110.7</c:v>
                </c:pt>
                <c:pt idx="2">
                  <c:v>110.5</c:v>
                </c:pt>
                <c:pt idx="3">
                  <c:v>63.9</c:v>
                </c:pt>
                <c:pt idx="4">
                  <c:v>21.2</c:v>
                </c:pt>
                <c:pt idx="5">
                  <c:v>3.9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9-4D23-8772-E24379F00F6A}"/>
            </c:ext>
          </c:extLst>
        </c:ser>
        <c:ser>
          <c:idx val="3"/>
          <c:order val="3"/>
          <c:tx>
            <c:strRef>
              <c:f>Sheet2!$A$21</c:f>
              <c:strCache>
                <c:ptCount val="1"/>
                <c:pt idx="0">
                  <c:v>1985-1989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Sheet2!$B$17:$H$17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cat>
          <c:val>
            <c:numRef>
              <c:f>Sheet2!$B$21:$H$21</c:f>
              <c:numCache>
                <c:formatCode>General</c:formatCode>
                <c:ptCount val="7"/>
                <c:pt idx="0">
                  <c:v>52.4</c:v>
                </c:pt>
                <c:pt idx="1">
                  <c:v>109.5</c:v>
                </c:pt>
                <c:pt idx="2">
                  <c:v>112.9</c:v>
                </c:pt>
                <c:pt idx="3">
                  <c:v>72.7</c:v>
                </c:pt>
                <c:pt idx="4">
                  <c:v>26.5</c:v>
                </c:pt>
                <c:pt idx="5">
                  <c:v>11.3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9-4D23-8772-E24379F00F6A}"/>
            </c:ext>
          </c:extLst>
        </c:ser>
        <c:ser>
          <c:idx val="4"/>
          <c:order val="4"/>
          <c:tx>
            <c:strRef>
              <c:f>Sheet2!$A$22</c:f>
              <c:strCache>
                <c:ptCount val="1"/>
                <c:pt idx="0">
                  <c:v>1990-1994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Sheet2!$B$17:$H$17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cat>
          <c:val>
            <c:numRef>
              <c:f>Sheet2!$B$22:$H$22</c:f>
              <c:numCache>
                <c:formatCode>General</c:formatCode>
                <c:ptCount val="7"/>
                <c:pt idx="0">
                  <c:v>59.8</c:v>
                </c:pt>
                <c:pt idx="1">
                  <c:v>113.2</c:v>
                </c:pt>
                <c:pt idx="2">
                  <c:v>115.5</c:v>
                </c:pt>
                <c:pt idx="3">
                  <c:v>80</c:v>
                </c:pt>
                <c:pt idx="4">
                  <c:v>32.4</c:v>
                </c:pt>
                <c:pt idx="5">
                  <c:v>5.9</c:v>
                </c:pt>
                <c:pt idx="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F9-4D23-8772-E24379F00F6A}"/>
            </c:ext>
          </c:extLst>
        </c:ser>
        <c:ser>
          <c:idx val="5"/>
          <c:order val="5"/>
          <c:tx>
            <c:strRef>
              <c:f>Sheet2!$A$23</c:f>
              <c:strCache>
                <c:ptCount val="1"/>
                <c:pt idx="0">
                  <c:v>1995-1999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Sheet2!$B$17:$H$17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cat>
          <c:val>
            <c:numRef>
              <c:f>Sheet2!$B$23:$H$23</c:f>
              <c:numCache>
                <c:formatCode>General</c:formatCode>
                <c:ptCount val="7"/>
                <c:pt idx="0">
                  <c:v>52</c:v>
                </c:pt>
                <c:pt idx="1">
                  <c:v>107.8</c:v>
                </c:pt>
                <c:pt idx="2">
                  <c:v>109.4</c:v>
                </c:pt>
                <c:pt idx="3">
                  <c:v>83.7</c:v>
                </c:pt>
                <c:pt idx="4">
                  <c:v>35.9</c:v>
                </c:pt>
                <c:pt idx="5">
                  <c:v>7.1</c:v>
                </c:pt>
                <c:pt idx="6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F9-4D23-8772-E24379F00F6A}"/>
            </c:ext>
          </c:extLst>
        </c:ser>
        <c:ser>
          <c:idx val="6"/>
          <c:order val="6"/>
          <c:tx>
            <c:strRef>
              <c:f>Sheet2!$A$24</c:f>
              <c:strCache>
                <c:ptCount val="1"/>
                <c:pt idx="0">
                  <c:v>2000-2004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Sheet2!$B$17:$H$17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45-49∗</c:v>
                </c:pt>
              </c:strCache>
            </c:strRef>
          </c:cat>
          <c:val>
            <c:numRef>
              <c:f>Sheet2!$B$24:$H$24</c:f>
              <c:numCache>
                <c:formatCode>General</c:formatCode>
                <c:ptCount val="7"/>
                <c:pt idx="0">
                  <c:v>43.7</c:v>
                </c:pt>
                <c:pt idx="1">
                  <c:v>104.8</c:v>
                </c:pt>
                <c:pt idx="2">
                  <c:v>114.3</c:v>
                </c:pt>
                <c:pt idx="3">
                  <c:v>93</c:v>
                </c:pt>
                <c:pt idx="4">
                  <c:v>42.2</c:v>
                </c:pt>
                <c:pt idx="5">
                  <c:v>8.4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F9-4D23-8772-E24379F00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111951"/>
        <c:axId val="2032907039"/>
      </c:lineChart>
      <c:catAx>
        <c:axId val="196111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07039"/>
        <c:crosses val="autoZero"/>
        <c:auto val="1"/>
        <c:lblAlgn val="ctr"/>
        <c:lblOffset val="100"/>
        <c:noMultiLvlLbl val="0"/>
      </c:catAx>
      <c:valAx>
        <c:axId val="203290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1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228602</xdr:colOff>
      <xdr:row>45</xdr:row>
      <xdr:rowOff>5443</xdr:rowOff>
    </xdr:from>
    <xdr:to>
      <xdr:col>18</xdr:col>
      <xdr:colOff>176306</xdr:colOff>
      <xdr:row>90</xdr:row>
      <xdr:rowOff>43542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0B3FFC-9A43-4CE3-A324-4768171BF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8859" y="8997043"/>
          <a:ext cx="7665676" cy="7141028"/>
        </a:xfrm>
        <a:prstGeom prst="rect">
          <a:avLst/>
        </a:prstGeom>
      </xdr:spPr>
    </xdr:pic>
    <xdr:clientData/>
  </xdr:twoCellAnchor>
  <xdr:twoCellAnchor>
    <xdr:from>
      <xdr:col>8</xdr:col>
      <xdr:colOff>169256</xdr:colOff>
      <xdr:row>7</xdr:row>
      <xdr:rowOff>52765</xdr:rowOff>
    </xdr:from>
    <xdr:to>
      <xdr:col>17</xdr:col>
      <xdr:colOff>56816</xdr:colOff>
      <xdr:row>29</xdr:row>
      <xdr:rowOff>109914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0ED9FC-C9D6-E5DB-49E6-0E01BDCA0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205091</xdr:colOff>
      <xdr:row>3</xdr:row>
      <xdr:rowOff>552</xdr:rowOff>
    </xdr:from>
    <xdr:to>
      <xdr:col>12</xdr:col>
      <xdr:colOff>81246</xdr:colOff>
      <xdr:row>16</xdr:row>
      <xdr:rowOff>122267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7E8487-8746-66D7-F6A8-154495BBF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226388</xdr:colOff>
      <xdr:row>7</xdr:row>
      <xdr:rowOff>138989</xdr:rowOff>
    </xdr:from>
    <xdr:to>
      <xdr:col>19</xdr:col>
      <xdr:colOff>181426</xdr:colOff>
      <xdr:row>30</xdr:row>
      <xdr:rowOff>82824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BE3E68-AB54-EF55-5A12-3141764A0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510417</xdr:colOff>
      <xdr:row>23</xdr:row>
      <xdr:rowOff>43543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AD10A-14C8-B98D-26E1-99A002831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735559" cy="36739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65486</xdr:colOff>
      <xdr:row>46</xdr:row>
      <xdr:rowOff>43631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0FEA7D-B7DA-970B-BEEE-24BC1B0AE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46071"/>
          <a:ext cx="6596915" cy="335833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49</xdr:row>
      <xdr:rowOff>1</xdr:rowOff>
    </xdr:from>
    <xdr:to>
      <xdr:col>14</xdr:col>
      <xdr:colOff>533401</xdr:colOff>
      <xdr:row>73</xdr:row>
      <xdr:rowOff>52588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3AE424-7632-16F6-D58A-A7D469B29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7734301"/>
          <a:ext cx="9677400" cy="3840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C433-0799-45CC-AFAB-1EC27A961694}">
  <dimension ref="A1:I57"/>
  <sheetViews>
    <sheetView topLeftCell="A32" zoomScale="139" zoomScaleNormal="139" workbookViewId="0">
      <selection activeCell="H42" sqref="H42"/>
    </sheetView>
  </sheetViews>
  <sheetFormatPr defaultRowHeight="12.45"/>
  <cols>
    <col min="1" max="1" width="11.765625" customWidth="1"/>
    <col min="2" max="2" width="17.3046875" customWidth="1"/>
    <col min="3" max="3" width="17" customWidth="1"/>
    <col min="4" max="5" width="17.61328125" customWidth="1"/>
    <col min="7" max="7" width="15.4609375" customWidth="1"/>
    <col min="8" max="8" width="16.765625" customWidth="1"/>
  </cols>
  <sheetData>
    <row r="1" spans="1:5" ht="14.15">
      <c r="A1" s="3" t="s">
        <v>0</v>
      </c>
    </row>
    <row r="2" spans="1:5" ht="42.45">
      <c r="A2" s="2" t="s">
        <v>1</v>
      </c>
      <c r="B2" s="2" t="s">
        <v>21</v>
      </c>
      <c r="C2" s="20" t="s">
        <v>22</v>
      </c>
      <c r="D2" s="2" t="s">
        <v>30</v>
      </c>
      <c r="E2" s="2" t="s">
        <v>31</v>
      </c>
    </row>
    <row r="3" spans="1:5">
      <c r="A3" t="s">
        <v>2</v>
      </c>
      <c r="B3">
        <v>10240239</v>
      </c>
      <c r="C3">
        <v>414406</v>
      </c>
      <c r="D3" s="24">
        <f>C3/B3*1000</f>
        <v>40.468391411567637</v>
      </c>
      <c r="E3" s="6">
        <f>D3*5</f>
        <v>202.34195705783819</v>
      </c>
    </row>
    <row r="4" spans="1:5">
      <c r="A4" t="s">
        <v>3</v>
      </c>
      <c r="B4">
        <v>10150079</v>
      </c>
      <c r="C4">
        <v>1040399</v>
      </c>
      <c r="D4" s="24">
        <f t="shared" ref="D4:D9" si="0">C4/B4*1000</f>
        <v>102.50156673657416</v>
      </c>
      <c r="E4" s="6">
        <f t="shared" ref="E4:E9" si="1">D4*5</f>
        <v>512.5078336828708</v>
      </c>
    </row>
    <row r="5" spans="1:5">
      <c r="A5" t="s">
        <v>4</v>
      </c>
      <c r="B5">
        <v>9767524</v>
      </c>
      <c r="C5">
        <v>1132293</v>
      </c>
      <c r="D5" s="24">
        <f t="shared" si="0"/>
        <v>115.92426084645402</v>
      </c>
      <c r="E5" s="6">
        <f t="shared" si="1"/>
        <v>579.62130423227006</v>
      </c>
    </row>
    <row r="6" spans="1:5">
      <c r="A6" t="s">
        <v>5</v>
      </c>
      <c r="B6">
        <v>9906365</v>
      </c>
      <c r="C6">
        <v>952013</v>
      </c>
      <c r="D6" s="24">
        <f t="shared" si="0"/>
        <v>96.101143052976539</v>
      </c>
      <c r="E6" s="6">
        <f t="shared" si="1"/>
        <v>480.50571526488272</v>
      </c>
    </row>
    <row r="7" spans="1:5">
      <c r="A7" t="s">
        <v>6</v>
      </c>
      <c r="B7">
        <v>10427161</v>
      </c>
      <c r="C7">
        <v>483401</v>
      </c>
      <c r="D7" s="24">
        <f t="shared" si="0"/>
        <v>46.359790550850803</v>
      </c>
      <c r="E7" s="6">
        <f t="shared" si="1"/>
        <v>231.798952754254</v>
      </c>
    </row>
    <row r="8" spans="1:5">
      <c r="A8" t="s">
        <v>7</v>
      </c>
      <c r="B8">
        <v>11475863</v>
      </c>
      <c r="C8">
        <v>104644</v>
      </c>
      <c r="D8" s="24">
        <f t="shared" si="0"/>
        <v>9.1186170486698899</v>
      </c>
      <c r="E8" s="6">
        <f t="shared" si="1"/>
        <v>45.593085243349449</v>
      </c>
    </row>
    <row r="9" spans="1:5">
      <c r="A9" t="s">
        <v>8</v>
      </c>
      <c r="B9">
        <v>11372141</v>
      </c>
      <c r="C9">
        <v>6546</v>
      </c>
      <c r="D9" s="24">
        <f t="shared" si="0"/>
        <v>0.57561720347997791</v>
      </c>
      <c r="E9" s="6">
        <f t="shared" si="1"/>
        <v>2.8780860173998897</v>
      </c>
    </row>
    <row r="10" spans="1:5">
      <c r="A10" s="4" t="s">
        <v>11</v>
      </c>
      <c r="B10" s="22">
        <f>SUM(B3:B9)</f>
        <v>73339372</v>
      </c>
      <c r="C10" s="21">
        <f>SUM(C3:C9)</f>
        <v>4133702</v>
      </c>
      <c r="D10" s="14"/>
      <c r="E10" s="6"/>
    </row>
    <row r="11" spans="1:5">
      <c r="D11" s="25"/>
    </row>
    <row r="12" spans="1:5">
      <c r="A12" t="s">
        <v>10</v>
      </c>
      <c r="B12" s="23">
        <f>C10/B10*1000</f>
        <v>56.364022315326068</v>
      </c>
      <c r="D12" s="4" t="s">
        <v>9</v>
      </c>
      <c r="E12" s="17">
        <f>SUM(E3:E9)/1000</f>
        <v>2.0552469342528648</v>
      </c>
    </row>
    <row r="16" spans="1:5">
      <c r="D16" t="s">
        <v>68</v>
      </c>
    </row>
    <row r="17" spans="1:9">
      <c r="A17" s="4" t="s">
        <v>66</v>
      </c>
    </row>
    <row r="18" spans="1:9">
      <c r="B18" s="28" t="s">
        <v>23</v>
      </c>
      <c r="C18" s="28"/>
      <c r="D18" s="28"/>
      <c r="E18" s="28"/>
      <c r="F18" s="28"/>
      <c r="G18" s="28"/>
      <c r="H18" s="28"/>
    </row>
    <row r="19" spans="1:9">
      <c r="A19" t="s">
        <v>24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</row>
    <row r="20" spans="1:9">
      <c r="A20" t="s">
        <v>12</v>
      </c>
      <c r="B20">
        <v>62.3</v>
      </c>
      <c r="C20">
        <v>137.1</v>
      </c>
      <c r="D20">
        <v>124.1</v>
      </c>
      <c r="E20">
        <v>61.9</v>
      </c>
      <c r="F20">
        <v>25.5</v>
      </c>
      <c r="G20">
        <v>6.2</v>
      </c>
      <c r="H20">
        <v>0.4</v>
      </c>
      <c r="I20" s="17">
        <f>SUM(B20:H20)*5/1000</f>
        <v>2.0874999999999995</v>
      </c>
    </row>
    <row r="21" spans="1:9">
      <c r="A21" t="s">
        <v>13</v>
      </c>
      <c r="B21">
        <v>53</v>
      </c>
      <c r="C21">
        <v>111.8</v>
      </c>
      <c r="D21">
        <v>109.1</v>
      </c>
      <c r="E21">
        <v>112.4</v>
      </c>
      <c r="F21">
        <v>19.2</v>
      </c>
      <c r="G21">
        <v>4.2</v>
      </c>
      <c r="H21">
        <v>0.2</v>
      </c>
      <c r="I21" s="17">
        <f t="shared" ref="I21:I26" si="2">SUM(B21:H21)*5/1000</f>
        <v>2.0494999999999997</v>
      </c>
    </row>
    <row r="22" spans="1:9">
      <c r="A22" t="s">
        <v>14</v>
      </c>
      <c r="B22">
        <v>51.9</v>
      </c>
      <c r="C22">
        <v>110.7</v>
      </c>
      <c r="D22">
        <v>110.5</v>
      </c>
      <c r="E22">
        <v>63.9</v>
      </c>
      <c r="F22">
        <v>21.2</v>
      </c>
      <c r="G22">
        <v>3.9</v>
      </c>
      <c r="H22">
        <v>0.2</v>
      </c>
      <c r="I22" s="17">
        <f t="shared" si="2"/>
        <v>1.8114999999999997</v>
      </c>
    </row>
    <row r="23" spans="1:9">
      <c r="A23" t="s">
        <v>15</v>
      </c>
      <c r="B23">
        <v>52.4</v>
      </c>
      <c r="C23">
        <v>109.5</v>
      </c>
      <c r="D23">
        <v>112.9</v>
      </c>
      <c r="E23">
        <v>72.7</v>
      </c>
      <c r="F23">
        <v>26.5</v>
      </c>
      <c r="G23">
        <v>11.3</v>
      </c>
      <c r="H23">
        <v>0.2</v>
      </c>
      <c r="I23" s="17">
        <f t="shared" si="2"/>
        <v>1.9275</v>
      </c>
    </row>
    <row r="24" spans="1:9">
      <c r="A24" t="s">
        <v>16</v>
      </c>
      <c r="B24">
        <v>59.8</v>
      </c>
      <c r="C24">
        <v>113.2</v>
      </c>
      <c r="D24">
        <v>115.5</v>
      </c>
      <c r="E24">
        <v>80</v>
      </c>
      <c r="F24">
        <v>32.4</v>
      </c>
      <c r="G24">
        <v>5.9</v>
      </c>
      <c r="H24">
        <v>0.3</v>
      </c>
      <c r="I24" s="17">
        <f t="shared" si="2"/>
        <v>2.0354999999999999</v>
      </c>
    </row>
    <row r="25" spans="1:9">
      <c r="A25" t="s">
        <v>17</v>
      </c>
      <c r="B25">
        <v>52</v>
      </c>
      <c r="C25">
        <v>107.8</v>
      </c>
      <c r="D25">
        <v>109.4</v>
      </c>
      <c r="E25">
        <v>83.7</v>
      </c>
      <c r="F25">
        <v>35.9</v>
      </c>
      <c r="G25">
        <v>7.1</v>
      </c>
      <c r="H25">
        <v>0.4</v>
      </c>
      <c r="I25" s="17">
        <f t="shared" si="2"/>
        <v>1.9815</v>
      </c>
    </row>
    <row r="26" spans="1:9">
      <c r="A26" t="s">
        <v>18</v>
      </c>
      <c r="B26">
        <v>43.7</v>
      </c>
      <c r="C26">
        <v>104.8</v>
      </c>
      <c r="D26">
        <v>114.3</v>
      </c>
      <c r="E26">
        <v>93</v>
      </c>
      <c r="F26">
        <v>42.2</v>
      </c>
      <c r="G26">
        <v>8.4</v>
      </c>
      <c r="H26">
        <v>0.5</v>
      </c>
      <c r="I26" s="17">
        <f t="shared" si="2"/>
        <v>2.0345</v>
      </c>
    </row>
    <row r="32" spans="1:9">
      <c r="A32" s="4" t="s">
        <v>19</v>
      </c>
    </row>
    <row r="33" spans="1:9" ht="87">
      <c r="A33" s="1" t="s">
        <v>25</v>
      </c>
      <c r="B33" s="1" t="s">
        <v>20</v>
      </c>
      <c r="C33" s="1" t="s">
        <v>35</v>
      </c>
      <c r="D33" s="1" t="s">
        <v>34</v>
      </c>
      <c r="E33" s="1" t="s">
        <v>26</v>
      </c>
      <c r="F33" s="1" t="s">
        <v>59</v>
      </c>
      <c r="G33" s="1" t="s">
        <v>69</v>
      </c>
      <c r="H33" s="1" t="s">
        <v>56</v>
      </c>
      <c r="I33" s="1" t="s">
        <v>29</v>
      </c>
    </row>
    <row r="34" spans="1:9">
      <c r="A34" t="s">
        <v>2</v>
      </c>
      <c r="B34">
        <v>17.5</v>
      </c>
      <c r="C34">
        <v>10240239</v>
      </c>
      <c r="D34" s="4">
        <v>414406</v>
      </c>
      <c r="E34" s="7">
        <f>D34/2.05</f>
        <v>202149.26829268294</v>
      </c>
      <c r="F34" s="6">
        <f>E34/C34*1000</f>
        <v>19.74067873735007</v>
      </c>
      <c r="G34" s="4">
        <v>0.9889</v>
      </c>
      <c r="H34" s="27">
        <f>F34*G34</f>
        <v>19.521557203365486</v>
      </c>
      <c r="I34" s="17"/>
    </row>
    <row r="35" spans="1:9">
      <c r="A35" t="s">
        <v>3</v>
      </c>
      <c r="B35">
        <v>22.5</v>
      </c>
      <c r="C35">
        <v>10150079</v>
      </c>
      <c r="D35">
        <v>1040399</v>
      </c>
      <c r="E35" s="7">
        <f t="shared" ref="E35:E40" si="3">D35/2.05</f>
        <v>507511.70731707319</v>
      </c>
      <c r="F35" s="6">
        <f t="shared" ref="F35:F40" si="4">E35/C35*1000</f>
        <v>50.000764261743498</v>
      </c>
      <c r="G35">
        <v>0.98480000000000001</v>
      </c>
      <c r="H35" s="27">
        <f t="shared" ref="H35:H40" si="5">F35*G35</f>
        <v>49.240752644964999</v>
      </c>
      <c r="I35" s="17"/>
    </row>
    <row r="36" spans="1:9">
      <c r="A36" t="s">
        <v>4</v>
      </c>
      <c r="B36">
        <v>27.5</v>
      </c>
      <c r="C36">
        <v>9767524</v>
      </c>
      <c r="D36">
        <v>1132293</v>
      </c>
      <c r="E36" s="7">
        <f t="shared" si="3"/>
        <v>552338.04878048785</v>
      </c>
      <c r="F36" s="6">
        <f t="shared" si="4"/>
        <v>56.54841992509953</v>
      </c>
      <c r="G36">
        <v>0.98009999999999997</v>
      </c>
      <c r="H36" s="27">
        <f t="shared" si="5"/>
        <v>55.423106368590048</v>
      </c>
      <c r="I36" s="17"/>
    </row>
    <row r="37" spans="1:9">
      <c r="A37" t="s">
        <v>5</v>
      </c>
      <c r="B37">
        <v>32.5</v>
      </c>
      <c r="C37">
        <v>9906365</v>
      </c>
      <c r="D37">
        <v>952013</v>
      </c>
      <c r="E37" s="7">
        <f t="shared" si="3"/>
        <v>464396.58536585368</v>
      </c>
      <c r="F37" s="6">
        <f t="shared" si="4"/>
        <v>46.878606367305636</v>
      </c>
      <c r="G37">
        <v>0.97519999999999996</v>
      </c>
      <c r="H37" s="27">
        <f t="shared" si="5"/>
        <v>45.716016929396453</v>
      </c>
      <c r="I37" s="17"/>
    </row>
    <row r="38" spans="1:9">
      <c r="A38" t="s">
        <v>6</v>
      </c>
      <c r="B38">
        <v>37.5</v>
      </c>
      <c r="C38">
        <v>10427161</v>
      </c>
      <c r="D38">
        <v>483401</v>
      </c>
      <c r="E38" s="7">
        <f t="shared" si="3"/>
        <v>235805.36585365856</v>
      </c>
      <c r="F38" s="6">
        <f t="shared" si="4"/>
        <v>22.614531976024782</v>
      </c>
      <c r="G38">
        <v>0.96909999999999996</v>
      </c>
      <c r="H38" s="27">
        <f t="shared" si="5"/>
        <v>21.915742937965614</v>
      </c>
      <c r="I38" s="17"/>
    </row>
    <row r="39" spans="1:9">
      <c r="A39" t="s">
        <v>7</v>
      </c>
      <c r="B39">
        <v>42.5</v>
      </c>
      <c r="C39">
        <v>11475863</v>
      </c>
      <c r="D39">
        <v>104644</v>
      </c>
      <c r="E39" s="7">
        <f t="shared" si="3"/>
        <v>51045.853658536587</v>
      </c>
      <c r="F39" s="6">
        <f t="shared" si="4"/>
        <v>4.4481058773999473</v>
      </c>
      <c r="G39">
        <v>0.96</v>
      </c>
      <c r="H39" s="27">
        <f t="shared" si="5"/>
        <v>4.2701816423039496</v>
      </c>
      <c r="I39" s="17"/>
    </row>
    <row r="40" spans="1:9">
      <c r="A40" t="s">
        <v>8</v>
      </c>
      <c r="B40">
        <v>47.5</v>
      </c>
      <c r="C40">
        <v>11372141</v>
      </c>
      <c r="D40">
        <v>6546</v>
      </c>
      <c r="E40" s="7">
        <f t="shared" si="3"/>
        <v>3193.1707317073174</v>
      </c>
      <c r="F40" s="6">
        <f t="shared" si="4"/>
        <v>0.28078887974633071</v>
      </c>
      <c r="G40">
        <v>0.94620000000000004</v>
      </c>
      <c r="H40" s="27">
        <f t="shared" si="5"/>
        <v>0.26568243801597813</v>
      </c>
      <c r="I40" s="17"/>
    </row>
    <row r="42" spans="1:9">
      <c r="E42" t="s">
        <v>46</v>
      </c>
      <c r="F42" s="26">
        <f>SUM(F34:F40)*5/1000</f>
        <v>1.0025594801233491</v>
      </c>
      <c r="G42" s="6" t="s">
        <v>67</v>
      </c>
      <c r="H42" s="26">
        <f>SUM(H34:H40)*5/1000</f>
        <v>0.98176520082301277</v>
      </c>
      <c r="I42" s="17"/>
    </row>
    <row r="48" spans="1:9">
      <c r="A48" t="s">
        <v>61</v>
      </c>
      <c r="B48" t="s">
        <v>62</v>
      </c>
      <c r="C48" t="s">
        <v>63</v>
      </c>
      <c r="D48" t="s">
        <v>64</v>
      </c>
      <c r="E48" t="s">
        <v>44</v>
      </c>
      <c r="F48" t="s">
        <v>65</v>
      </c>
    </row>
    <row r="49" spans="1:6">
      <c r="A49">
        <v>10</v>
      </c>
      <c r="B49" s="8">
        <v>8620000</v>
      </c>
      <c r="C49" s="8">
        <v>5816</v>
      </c>
      <c r="D49" s="8">
        <v>494603</v>
      </c>
    </row>
    <row r="50" spans="1:6">
      <c r="A50">
        <v>15</v>
      </c>
      <c r="B50" s="8">
        <v>8371000</v>
      </c>
      <c r="C50" s="8">
        <v>253979</v>
      </c>
      <c r="D50" s="8">
        <v>493804</v>
      </c>
      <c r="F50" s="9"/>
    </row>
    <row r="51" spans="1:6">
      <c r="A51">
        <v>20</v>
      </c>
      <c r="B51" s="8">
        <v>9419000</v>
      </c>
      <c r="C51" s="8">
        <v>532712</v>
      </c>
      <c r="D51" s="8">
        <v>492552</v>
      </c>
      <c r="F51" s="9"/>
    </row>
    <row r="52" spans="1:6">
      <c r="A52">
        <v>25</v>
      </c>
      <c r="B52" s="8">
        <v>10325000</v>
      </c>
      <c r="C52" s="8">
        <v>596823</v>
      </c>
      <c r="D52" s="8">
        <v>491138</v>
      </c>
      <c r="F52" s="9"/>
    </row>
    <row r="53" spans="1:6">
      <c r="A53">
        <v>30</v>
      </c>
      <c r="B53" s="8">
        <v>11125000</v>
      </c>
      <c r="C53" s="8">
        <v>431694</v>
      </c>
      <c r="D53" s="8">
        <v>489356</v>
      </c>
      <c r="F53" s="9"/>
    </row>
    <row r="54" spans="1:6">
      <c r="A54">
        <v>35</v>
      </c>
      <c r="B54" s="8">
        <v>10344000</v>
      </c>
      <c r="C54" s="8">
        <v>162005</v>
      </c>
      <c r="D54" s="8">
        <v>486941</v>
      </c>
      <c r="F54" s="9"/>
    </row>
    <row r="55" spans="1:6">
      <c r="A55">
        <v>40</v>
      </c>
      <c r="B55" s="8">
        <v>9496000</v>
      </c>
      <c r="C55" s="8">
        <v>25531</v>
      </c>
      <c r="D55" s="8">
        <v>483577</v>
      </c>
      <c r="F55" s="9"/>
    </row>
    <row r="56" spans="1:6">
      <c r="A56">
        <v>45</v>
      </c>
      <c r="B56" s="8">
        <v>7188000</v>
      </c>
      <c r="C56">
        <v>829</v>
      </c>
      <c r="D56" s="8">
        <v>478475</v>
      </c>
    </row>
    <row r="57" spans="1:6">
      <c r="A57" t="s">
        <v>38</v>
      </c>
      <c r="B57" t="s">
        <v>60</v>
      </c>
      <c r="C57" t="s">
        <v>60</v>
      </c>
      <c r="D57" t="s">
        <v>60</v>
      </c>
    </row>
  </sheetData>
  <mergeCells count="1">
    <mergeCell ref="B18:H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04"/>
  <sheetViews>
    <sheetView topLeftCell="B76" zoomScale="138" zoomScaleNormal="138" workbookViewId="0">
      <selection activeCell="I33" sqref="I33"/>
    </sheetView>
  </sheetViews>
  <sheetFormatPr defaultRowHeight="12.45"/>
  <cols>
    <col min="2" max="2" width="14.69140625" customWidth="1"/>
    <col min="3" max="3" width="13.765625" customWidth="1"/>
    <col min="4" max="4" width="15.3828125" customWidth="1"/>
    <col min="5" max="5" width="16.765625" customWidth="1"/>
    <col min="6" max="6" width="17.61328125" customWidth="1"/>
    <col min="7" max="7" width="14.61328125" customWidth="1"/>
    <col min="8" max="8" width="13.84375" customWidth="1"/>
    <col min="9" max="9" width="21.84375" customWidth="1"/>
  </cols>
  <sheetData>
    <row r="2" spans="1:8" ht="14.15">
      <c r="A2" s="3" t="s">
        <v>0</v>
      </c>
    </row>
    <row r="3" spans="1:8" ht="42.45">
      <c r="A3" s="2" t="s">
        <v>1</v>
      </c>
      <c r="B3" s="2" t="s">
        <v>21</v>
      </c>
      <c r="C3" s="2" t="s">
        <v>22</v>
      </c>
      <c r="D3" s="2" t="s">
        <v>30</v>
      </c>
      <c r="E3" s="2" t="s">
        <v>31</v>
      </c>
    </row>
    <row r="4" spans="1:8">
      <c r="A4" t="s">
        <v>2</v>
      </c>
      <c r="B4">
        <v>10240239</v>
      </c>
      <c r="C4">
        <v>414406</v>
      </c>
      <c r="D4" s="13">
        <f>C4/B4*1000</f>
        <v>40.468391411567637</v>
      </c>
      <c r="E4" s="6">
        <f>D4*5</f>
        <v>202.34195705783819</v>
      </c>
    </row>
    <row r="5" spans="1:8">
      <c r="A5" t="s">
        <v>3</v>
      </c>
      <c r="B5">
        <v>10150079</v>
      </c>
      <c r="C5">
        <v>1040399</v>
      </c>
      <c r="D5" s="13">
        <f t="shared" ref="D5:D11" si="0">C5/B5*1000</f>
        <v>102.50156673657416</v>
      </c>
      <c r="E5" s="6">
        <f t="shared" ref="E5:E10" si="1">D5*5</f>
        <v>512.5078336828708</v>
      </c>
    </row>
    <row r="6" spans="1:8">
      <c r="A6" t="s">
        <v>4</v>
      </c>
      <c r="B6">
        <v>9767524</v>
      </c>
      <c r="C6">
        <v>1132293</v>
      </c>
      <c r="D6" s="13">
        <f t="shared" si="0"/>
        <v>115.92426084645402</v>
      </c>
      <c r="E6" s="6">
        <f t="shared" si="1"/>
        <v>579.62130423227006</v>
      </c>
    </row>
    <row r="7" spans="1:8">
      <c r="A7" t="s">
        <v>5</v>
      </c>
      <c r="B7">
        <v>9906365</v>
      </c>
      <c r="C7">
        <v>952013</v>
      </c>
      <c r="D7" s="13">
        <f t="shared" si="0"/>
        <v>96.101143052976539</v>
      </c>
      <c r="E7" s="6">
        <f t="shared" si="1"/>
        <v>480.50571526488272</v>
      </c>
    </row>
    <row r="8" spans="1:8">
      <c r="A8" t="s">
        <v>6</v>
      </c>
      <c r="B8">
        <v>10427161</v>
      </c>
      <c r="C8">
        <v>483401</v>
      </c>
      <c r="D8" s="13">
        <f t="shared" si="0"/>
        <v>46.359790550850803</v>
      </c>
      <c r="E8" s="6">
        <f t="shared" si="1"/>
        <v>231.798952754254</v>
      </c>
    </row>
    <row r="9" spans="1:8">
      <c r="A9" t="s">
        <v>7</v>
      </c>
      <c r="B9">
        <v>11475863</v>
      </c>
      <c r="C9">
        <v>104644</v>
      </c>
      <c r="D9" s="13">
        <f t="shared" si="0"/>
        <v>9.1186170486698899</v>
      </c>
      <c r="E9" s="6">
        <f t="shared" si="1"/>
        <v>45.593085243349449</v>
      </c>
    </row>
    <row r="10" spans="1:8">
      <c r="A10" t="s">
        <v>8</v>
      </c>
      <c r="B10">
        <v>11372141</v>
      </c>
      <c r="C10">
        <v>6546</v>
      </c>
      <c r="D10" s="13">
        <f t="shared" si="0"/>
        <v>0.57561720347997791</v>
      </c>
      <c r="E10" s="6">
        <f t="shared" si="1"/>
        <v>2.8780860173998897</v>
      </c>
    </row>
    <row r="11" spans="1:8">
      <c r="A11" t="s">
        <v>11</v>
      </c>
      <c r="B11">
        <f>SUM(B4:B10)</f>
        <v>73339372</v>
      </c>
      <c r="C11">
        <f>SUM(C4:C10)</f>
        <v>4133702</v>
      </c>
      <c r="D11" s="14">
        <f t="shared" si="0"/>
        <v>56.364022315326068</v>
      </c>
      <c r="E11" s="6"/>
    </row>
    <row r="12" spans="1:8">
      <c r="B12" t="s">
        <v>10</v>
      </c>
      <c r="C12">
        <v>56.36</v>
      </c>
    </row>
    <row r="13" spans="1:8">
      <c r="D13" t="s">
        <v>9</v>
      </c>
      <c r="E13" s="17">
        <f>SUM(E4:E10)/1000</f>
        <v>2.0552469342528648</v>
      </c>
    </row>
    <row r="15" spans="1:8">
      <c r="A15" s="4" t="s">
        <v>32</v>
      </c>
    </row>
    <row r="16" spans="1:8">
      <c r="B16" s="28" t="s">
        <v>23</v>
      </c>
      <c r="C16" s="28"/>
      <c r="D16" s="28"/>
      <c r="E16" s="28"/>
      <c r="F16" s="28"/>
      <c r="G16" s="28"/>
      <c r="H16" s="28"/>
    </row>
    <row r="17" spans="1:9">
      <c r="A17" t="s">
        <v>24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</row>
    <row r="18" spans="1:9">
      <c r="A18" t="s">
        <v>12</v>
      </c>
      <c r="B18">
        <v>62.3</v>
      </c>
      <c r="C18">
        <v>137.1</v>
      </c>
      <c r="D18">
        <v>124.1</v>
      </c>
      <c r="E18">
        <v>61.9</v>
      </c>
      <c r="F18">
        <v>25.5</v>
      </c>
      <c r="G18">
        <v>6.2</v>
      </c>
      <c r="H18">
        <v>0.4</v>
      </c>
      <c r="I18" s="6">
        <f>SUM(B18:H18)*5/1000</f>
        <v>2.0874999999999995</v>
      </c>
    </row>
    <row r="19" spans="1:9">
      <c r="A19" t="s">
        <v>13</v>
      </c>
      <c r="B19">
        <v>53</v>
      </c>
      <c r="C19">
        <v>111.8</v>
      </c>
      <c r="D19">
        <v>109.1</v>
      </c>
      <c r="E19">
        <v>112.4</v>
      </c>
      <c r="F19">
        <v>19.2</v>
      </c>
      <c r="G19">
        <v>4.2</v>
      </c>
      <c r="H19">
        <v>0.2</v>
      </c>
      <c r="I19" s="6">
        <f t="shared" ref="I19:I24" si="2">SUM(B19:H19)*5/1000</f>
        <v>2.0494999999999997</v>
      </c>
    </row>
    <row r="20" spans="1:9">
      <c r="A20" t="s">
        <v>14</v>
      </c>
      <c r="B20">
        <v>51.9</v>
      </c>
      <c r="C20">
        <v>110.7</v>
      </c>
      <c r="D20">
        <v>110.5</v>
      </c>
      <c r="E20">
        <v>63.9</v>
      </c>
      <c r="F20">
        <v>21.2</v>
      </c>
      <c r="G20">
        <v>3.9</v>
      </c>
      <c r="H20">
        <v>0.2</v>
      </c>
      <c r="I20" s="6">
        <f t="shared" si="2"/>
        <v>1.8114999999999997</v>
      </c>
    </row>
    <row r="21" spans="1:9">
      <c r="A21" t="s">
        <v>15</v>
      </c>
      <c r="B21">
        <v>52.4</v>
      </c>
      <c r="C21">
        <v>109.5</v>
      </c>
      <c r="D21">
        <v>112.9</v>
      </c>
      <c r="E21">
        <v>72.7</v>
      </c>
      <c r="F21">
        <v>26.5</v>
      </c>
      <c r="G21">
        <v>11.3</v>
      </c>
      <c r="H21">
        <v>0.2</v>
      </c>
      <c r="I21" s="6">
        <f t="shared" si="2"/>
        <v>1.9275</v>
      </c>
    </row>
    <row r="22" spans="1:9">
      <c r="A22" t="s">
        <v>16</v>
      </c>
      <c r="B22">
        <v>59.8</v>
      </c>
      <c r="C22">
        <v>113.2</v>
      </c>
      <c r="D22">
        <v>115.5</v>
      </c>
      <c r="E22">
        <v>80</v>
      </c>
      <c r="F22">
        <v>32.4</v>
      </c>
      <c r="G22">
        <v>5.9</v>
      </c>
      <c r="H22">
        <v>0.3</v>
      </c>
      <c r="I22" s="6">
        <f t="shared" si="2"/>
        <v>2.0354999999999999</v>
      </c>
    </row>
    <row r="23" spans="1:9">
      <c r="A23" t="s">
        <v>17</v>
      </c>
      <c r="B23">
        <v>52</v>
      </c>
      <c r="C23">
        <v>107.8</v>
      </c>
      <c r="D23">
        <v>109.4</v>
      </c>
      <c r="E23">
        <v>83.7</v>
      </c>
      <c r="F23">
        <v>35.9</v>
      </c>
      <c r="G23">
        <v>7.1</v>
      </c>
      <c r="H23">
        <v>0.4</v>
      </c>
      <c r="I23" s="6">
        <f t="shared" si="2"/>
        <v>1.9815</v>
      </c>
    </row>
    <row r="24" spans="1:9">
      <c r="A24" t="s">
        <v>18</v>
      </c>
      <c r="B24">
        <v>43.7</v>
      </c>
      <c r="C24">
        <v>104.8</v>
      </c>
      <c r="D24">
        <v>114.3</v>
      </c>
      <c r="E24">
        <v>93</v>
      </c>
      <c r="F24">
        <v>42.2</v>
      </c>
      <c r="G24">
        <v>8.4</v>
      </c>
      <c r="H24">
        <v>0.5</v>
      </c>
      <c r="I24" s="6">
        <f t="shared" si="2"/>
        <v>2.0345</v>
      </c>
    </row>
    <row r="29" spans="1:9">
      <c r="A29" s="5" t="s">
        <v>33</v>
      </c>
    </row>
    <row r="30" spans="1:9">
      <c r="A30" s="4" t="s">
        <v>19</v>
      </c>
    </row>
    <row r="31" spans="1:9" ht="49.75">
      <c r="A31" s="1" t="s">
        <v>25</v>
      </c>
      <c r="B31" s="1" t="s">
        <v>20</v>
      </c>
      <c r="C31" s="1" t="s">
        <v>35</v>
      </c>
      <c r="D31" s="1" t="s">
        <v>34</v>
      </c>
      <c r="E31" s="1" t="s">
        <v>26</v>
      </c>
      <c r="F31" s="1" t="s">
        <v>27</v>
      </c>
      <c r="G31" s="1" t="s">
        <v>55</v>
      </c>
      <c r="H31" s="1" t="s">
        <v>56</v>
      </c>
      <c r="I31" s="1" t="s">
        <v>29</v>
      </c>
    </row>
    <row r="32" spans="1:9">
      <c r="A32" t="s">
        <v>2</v>
      </c>
      <c r="B32">
        <v>17.5</v>
      </c>
      <c r="C32">
        <v>10240239</v>
      </c>
      <c r="D32">
        <v>414406</v>
      </c>
      <c r="E32" s="7">
        <f>D32/2.05</f>
        <v>202149.26829268294</v>
      </c>
      <c r="F32" s="6">
        <f>E32/C32*1000</f>
        <v>19.74067873735007</v>
      </c>
      <c r="G32" s="6">
        <f>F32*5</f>
        <v>98.703393686750346</v>
      </c>
      <c r="H32" s="4">
        <v>0.9889</v>
      </c>
      <c r="I32" s="17">
        <f>G32*H32</f>
        <v>97.607786016827419</v>
      </c>
    </row>
    <row r="33" spans="1:9">
      <c r="A33" t="s">
        <v>3</v>
      </c>
      <c r="B33">
        <v>22.5</v>
      </c>
      <c r="C33">
        <v>10150079</v>
      </c>
      <c r="D33">
        <v>1040399</v>
      </c>
      <c r="E33" s="7">
        <f t="shared" ref="E33:E38" si="3">D33/2.05</f>
        <v>507511.70731707319</v>
      </c>
      <c r="F33" s="6">
        <f t="shared" ref="F33:F38" si="4">E33/C33*1000</f>
        <v>50.000764261743498</v>
      </c>
      <c r="G33" s="6">
        <f t="shared" ref="G33:G38" si="5">F33*5</f>
        <v>250.00382130871748</v>
      </c>
      <c r="H33">
        <v>0.98480000000000001</v>
      </c>
      <c r="I33" s="17">
        <f t="shared" ref="I33:I38" si="6">G33*H33</f>
        <v>246.20376322482497</v>
      </c>
    </row>
    <row r="34" spans="1:9">
      <c r="A34" t="s">
        <v>4</v>
      </c>
      <c r="B34">
        <v>27.5</v>
      </c>
      <c r="C34">
        <v>9767524</v>
      </c>
      <c r="D34">
        <v>1132293</v>
      </c>
      <c r="E34" s="7">
        <f t="shared" si="3"/>
        <v>552338.04878048785</v>
      </c>
      <c r="F34" s="6">
        <f t="shared" si="4"/>
        <v>56.54841992509953</v>
      </c>
      <c r="G34" s="6">
        <f t="shared" si="5"/>
        <v>282.74209962549764</v>
      </c>
      <c r="H34">
        <v>0.98009999999999997</v>
      </c>
      <c r="I34" s="17">
        <f t="shared" si="6"/>
        <v>277.11553184295025</v>
      </c>
    </row>
    <row r="35" spans="1:9">
      <c r="A35" t="s">
        <v>5</v>
      </c>
      <c r="B35">
        <v>32.5</v>
      </c>
      <c r="C35">
        <v>9906365</v>
      </c>
      <c r="D35">
        <v>952013</v>
      </c>
      <c r="E35" s="7">
        <f t="shared" si="3"/>
        <v>464396.58536585368</v>
      </c>
      <c r="F35" s="6">
        <f t="shared" si="4"/>
        <v>46.878606367305636</v>
      </c>
      <c r="G35" s="6">
        <f t="shared" si="5"/>
        <v>234.39303183652817</v>
      </c>
      <c r="H35">
        <v>0.97519999999999996</v>
      </c>
      <c r="I35" s="17">
        <f t="shared" si="6"/>
        <v>228.58008464698227</v>
      </c>
    </row>
    <row r="36" spans="1:9">
      <c r="A36" t="s">
        <v>6</v>
      </c>
      <c r="B36">
        <v>37.5</v>
      </c>
      <c r="C36">
        <v>10427161</v>
      </c>
      <c r="D36">
        <v>483401</v>
      </c>
      <c r="E36" s="7">
        <f t="shared" si="3"/>
        <v>235805.36585365856</v>
      </c>
      <c r="F36" s="6">
        <f t="shared" si="4"/>
        <v>22.614531976024782</v>
      </c>
      <c r="G36" s="6">
        <f t="shared" si="5"/>
        <v>113.07265988012391</v>
      </c>
      <c r="H36">
        <v>0.96909999999999996</v>
      </c>
      <c r="I36" s="17">
        <f t="shared" si="6"/>
        <v>109.57871468982808</v>
      </c>
    </row>
    <row r="37" spans="1:9">
      <c r="A37" t="s">
        <v>7</v>
      </c>
      <c r="B37">
        <v>42.5</v>
      </c>
      <c r="C37">
        <v>11475863</v>
      </c>
      <c r="D37">
        <v>104644</v>
      </c>
      <c r="E37" s="7">
        <f t="shared" si="3"/>
        <v>51045.853658536587</v>
      </c>
      <c r="F37" s="6">
        <f t="shared" si="4"/>
        <v>4.4481058773999473</v>
      </c>
      <c r="G37" s="6">
        <f t="shared" si="5"/>
        <v>22.240529386999736</v>
      </c>
      <c r="H37">
        <v>0.96</v>
      </c>
      <c r="I37" s="17">
        <f t="shared" si="6"/>
        <v>21.350908211519744</v>
      </c>
    </row>
    <row r="38" spans="1:9">
      <c r="A38" t="s">
        <v>8</v>
      </c>
      <c r="B38">
        <v>47.5</v>
      </c>
      <c r="C38">
        <v>11372141</v>
      </c>
      <c r="D38">
        <v>6546</v>
      </c>
      <c r="E38" s="7">
        <f t="shared" si="3"/>
        <v>3193.1707317073174</v>
      </c>
      <c r="F38" s="6">
        <f t="shared" si="4"/>
        <v>0.28078887974633071</v>
      </c>
      <c r="G38" s="6">
        <f t="shared" si="5"/>
        <v>1.4039443987316536</v>
      </c>
      <c r="H38">
        <v>0.94620000000000004</v>
      </c>
      <c r="I38" s="17">
        <f t="shared" si="6"/>
        <v>1.3284121900798906</v>
      </c>
    </row>
    <row r="40" spans="1:9">
      <c r="F40" t="s">
        <v>46</v>
      </c>
      <c r="G40" s="6">
        <f>SUM(G32:G38)/1000</f>
        <v>1.0025594801233488</v>
      </c>
      <c r="I40" s="17">
        <f>SUM(I32:I38)/1000</f>
        <v>0.98176520082301255</v>
      </c>
    </row>
    <row r="41" spans="1:9">
      <c r="E41" s="7"/>
    </row>
    <row r="43" spans="1:9">
      <c r="A43" s="4" t="s">
        <v>19</v>
      </c>
    </row>
    <row r="44" spans="1:9" ht="37.299999999999997">
      <c r="A44" s="1" t="s">
        <v>25</v>
      </c>
      <c r="B44" s="1" t="s">
        <v>20</v>
      </c>
      <c r="C44" s="1" t="s">
        <v>35</v>
      </c>
      <c r="D44" s="1" t="s">
        <v>34</v>
      </c>
      <c r="E44" s="1" t="s">
        <v>26</v>
      </c>
      <c r="F44" s="1" t="s">
        <v>27</v>
      </c>
      <c r="G44" s="1" t="s">
        <v>28</v>
      </c>
      <c r="H44" s="1" t="s">
        <v>36</v>
      </c>
      <c r="I44" s="1" t="s">
        <v>29</v>
      </c>
    </row>
    <row r="45" spans="1:9">
      <c r="A45" t="s">
        <v>2</v>
      </c>
      <c r="B45">
        <v>17.5</v>
      </c>
      <c r="C45">
        <v>10240239</v>
      </c>
      <c r="D45">
        <v>414406</v>
      </c>
      <c r="E45" s="7">
        <f>D45/2.05</f>
        <v>202149.26829268294</v>
      </c>
      <c r="F45">
        <f>E45/C45</f>
        <v>1.9740678737350071E-2</v>
      </c>
      <c r="G45">
        <f>F45*5</f>
        <v>9.8703393686750351E-2</v>
      </c>
      <c r="H45">
        <v>0.9889</v>
      </c>
      <c r="I45">
        <f>G45*H45</f>
        <v>9.7607786016827416E-2</v>
      </c>
    </row>
    <row r="46" spans="1:9">
      <c r="A46" t="s">
        <v>3</v>
      </c>
      <c r="B46">
        <v>22.5</v>
      </c>
      <c r="C46">
        <v>10150079</v>
      </c>
      <c r="D46">
        <v>1040399</v>
      </c>
      <c r="E46" s="7">
        <f t="shared" ref="E46:E51" si="7">D46/2.05</f>
        <v>507511.70731707319</v>
      </c>
      <c r="F46">
        <f t="shared" ref="F46:F51" si="8">E46/C46</f>
        <v>5.0000764261743498E-2</v>
      </c>
      <c r="G46">
        <f t="shared" ref="G46:G51" si="9">F46*5</f>
        <v>0.25000382130871751</v>
      </c>
      <c r="H46">
        <v>0.98480000000000001</v>
      </c>
      <c r="I46">
        <f t="shared" ref="I46:I51" si="10">G46*H46</f>
        <v>0.24620376322482501</v>
      </c>
    </row>
    <row r="47" spans="1:9">
      <c r="A47" t="s">
        <v>4</v>
      </c>
      <c r="B47">
        <v>27.5</v>
      </c>
      <c r="C47">
        <v>9767524</v>
      </c>
      <c r="D47">
        <v>1132293</v>
      </c>
      <c r="E47" s="7">
        <f t="shared" si="7"/>
        <v>552338.04878048785</v>
      </c>
      <c r="F47">
        <f t="shared" si="8"/>
        <v>5.6548419925099527E-2</v>
      </c>
      <c r="G47">
        <f t="shared" si="9"/>
        <v>0.28274209962549762</v>
      </c>
      <c r="H47">
        <v>0.98009999999999997</v>
      </c>
      <c r="I47">
        <f t="shared" si="10"/>
        <v>0.27711553184295024</v>
      </c>
    </row>
    <row r="48" spans="1:9">
      <c r="A48" t="s">
        <v>5</v>
      </c>
      <c r="B48">
        <v>32.5</v>
      </c>
      <c r="C48">
        <v>9906365</v>
      </c>
      <c r="D48">
        <v>952013</v>
      </c>
      <c r="E48" s="7">
        <f t="shared" si="7"/>
        <v>464396.58536585368</v>
      </c>
      <c r="F48">
        <f t="shared" si="8"/>
        <v>4.6878606367305634E-2</v>
      </c>
      <c r="G48">
        <f t="shared" si="9"/>
        <v>0.23439303183652815</v>
      </c>
      <c r="H48">
        <v>0.97519999999999996</v>
      </c>
      <c r="I48">
        <f t="shared" si="10"/>
        <v>0.22858008464698223</v>
      </c>
    </row>
    <row r="49" spans="1:9">
      <c r="A49" t="s">
        <v>6</v>
      </c>
      <c r="B49">
        <v>37.5</v>
      </c>
      <c r="C49">
        <v>10427161</v>
      </c>
      <c r="D49">
        <v>483401</v>
      </c>
      <c r="E49" s="7">
        <f t="shared" si="7"/>
        <v>235805.36585365856</v>
      </c>
      <c r="F49">
        <f t="shared" si="8"/>
        <v>2.2614531976024782E-2</v>
      </c>
      <c r="G49">
        <f t="shared" si="9"/>
        <v>0.11307265988012391</v>
      </c>
      <c r="H49">
        <v>0.96909999999999996</v>
      </c>
      <c r="I49">
        <f t="shared" si="10"/>
        <v>0.10957871468982808</v>
      </c>
    </row>
    <row r="50" spans="1:9">
      <c r="A50" t="s">
        <v>7</v>
      </c>
      <c r="B50">
        <v>42.5</v>
      </c>
      <c r="C50">
        <v>11475863</v>
      </c>
      <c r="D50">
        <v>104644</v>
      </c>
      <c r="E50" s="7">
        <f t="shared" si="7"/>
        <v>51045.853658536587</v>
      </c>
      <c r="F50">
        <f t="shared" si="8"/>
        <v>4.4481058773999469E-3</v>
      </c>
      <c r="G50">
        <f t="shared" si="9"/>
        <v>2.2240529386999733E-2</v>
      </c>
      <c r="H50">
        <v>0.96</v>
      </c>
      <c r="I50">
        <f t="shared" si="10"/>
        <v>2.1350908211519741E-2</v>
      </c>
    </row>
    <row r="51" spans="1:9">
      <c r="A51" t="s">
        <v>8</v>
      </c>
      <c r="B51">
        <v>47.5</v>
      </c>
      <c r="C51">
        <v>11372141</v>
      </c>
      <c r="D51">
        <v>6546</v>
      </c>
      <c r="E51" s="7">
        <f t="shared" si="7"/>
        <v>3193.1707317073174</v>
      </c>
      <c r="F51">
        <f t="shared" si="8"/>
        <v>2.8078887974633071E-4</v>
      </c>
      <c r="G51">
        <f t="shared" si="9"/>
        <v>1.4039443987316534E-3</v>
      </c>
      <c r="H51">
        <v>0.94620000000000004</v>
      </c>
      <c r="I51">
        <f t="shared" si="10"/>
        <v>1.3284121900798906E-3</v>
      </c>
    </row>
    <row r="60" spans="1:9">
      <c r="A60" t="s">
        <v>42</v>
      </c>
    </row>
    <row r="62" spans="1:9">
      <c r="A62" t="s">
        <v>43</v>
      </c>
    </row>
    <row r="63" spans="1:9">
      <c r="A63" t="s">
        <v>37</v>
      </c>
      <c r="B63" t="s">
        <v>39</v>
      </c>
      <c r="C63" t="s">
        <v>40</v>
      </c>
      <c r="D63" t="s">
        <v>41</v>
      </c>
      <c r="E63" t="s">
        <v>44</v>
      </c>
      <c r="F63" t="s">
        <v>45</v>
      </c>
    </row>
    <row r="64" spans="1:9">
      <c r="A64">
        <v>10</v>
      </c>
      <c r="B64" s="8">
        <v>8620000</v>
      </c>
      <c r="C64" s="8">
        <v>5816</v>
      </c>
      <c r="D64" s="8">
        <v>494603</v>
      </c>
      <c r="E64">
        <v>6.9999999999999999E-4</v>
      </c>
      <c r="F64">
        <v>333.71</v>
      </c>
    </row>
    <row r="65" spans="1:6">
      <c r="A65">
        <v>15</v>
      </c>
      <c r="B65" s="8">
        <v>8371000</v>
      </c>
      <c r="C65" s="8">
        <v>253979</v>
      </c>
      <c r="D65" s="8">
        <v>493804</v>
      </c>
      <c r="E65">
        <v>3.0300000000000001E-2</v>
      </c>
      <c r="F65" s="9">
        <v>14982.18</v>
      </c>
    </row>
    <row r="66" spans="1:6">
      <c r="A66">
        <v>20</v>
      </c>
      <c r="B66" s="8">
        <v>9419000</v>
      </c>
      <c r="C66" s="8">
        <v>532712</v>
      </c>
      <c r="D66" s="8">
        <v>492552</v>
      </c>
      <c r="E66">
        <v>5.6599999999999998E-2</v>
      </c>
      <c r="F66" s="9">
        <v>27857.35</v>
      </c>
    </row>
    <row r="67" spans="1:6">
      <c r="A67">
        <v>25</v>
      </c>
      <c r="B67" s="8">
        <v>10325000</v>
      </c>
      <c r="C67" s="8">
        <v>596823</v>
      </c>
      <c r="D67" s="8">
        <v>491138</v>
      </c>
      <c r="E67">
        <v>5.7799999999999997E-2</v>
      </c>
      <c r="F67" s="9">
        <v>28389.58</v>
      </c>
    </row>
    <row r="68" spans="1:6">
      <c r="A68">
        <v>30</v>
      </c>
      <c r="B68" s="8">
        <v>11125000</v>
      </c>
      <c r="C68" s="8">
        <v>431694</v>
      </c>
      <c r="D68" s="8">
        <v>489356</v>
      </c>
      <c r="E68">
        <v>3.8800000000000001E-2</v>
      </c>
      <c r="F68" s="9">
        <v>18988.95</v>
      </c>
    </row>
    <row r="69" spans="1:6">
      <c r="A69">
        <v>35</v>
      </c>
      <c r="B69" s="8">
        <v>10344000</v>
      </c>
      <c r="C69" s="8">
        <v>162005</v>
      </c>
      <c r="D69" s="8">
        <v>486941</v>
      </c>
      <c r="E69">
        <v>1.5699999999999999E-2</v>
      </c>
      <c r="F69" s="9">
        <v>7626.34</v>
      </c>
    </row>
    <row r="70" spans="1:6">
      <c r="A70">
        <v>40</v>
      </c>
      <c r="B70" s="8">
        <v>9496000</v>
      </c>
      <c r="C70" s="8">
        <v>25531</v>
      </c>
      <c r="D70" s="8">
        <v>483577</v>
      </c>
      <c r="E70">
        <v>2.7000000000000001E-3</v>
      </c>
      <c r="F70" s="9">
        <v>1300.1500000000001</v>
      </c>
    </row>
    <row r="71" spans="1:6">
      <c r="A71">
        <v>45</v>
      </c>
      <c r="B71" s="8">
        <v>7188000</v>
      </c>
      <c r="C71">
        <v>829</v>
      </c>
      <c r="D71" s="8">
        <v>478475</v>
      </c>
      <c r="E71">
        <v>1E-4</v>
      </c>
      <c r="F71">
        <v>55.18</v>
      </c>
    </row>
    <row r="72" spans="1:6">
      <c r="A72" t="s">
        <v>38</v>
      </c>
      <c r="E72">
        <v>0.2026</v>
      </c>
      <c r="F72" s="9">
        <v>99533.45</v>
      </c>
    </row>
    <row r="74" spans="1:6">
      <c r="D74" t="s">
        <v>46</v>
      </c>
      <c r="E74">
        <f>SUM(E64:E71)*5</f>
        <v>1.0135000000000001</v>
      </c>
      <c r="F74" s="4">
        <f>SUM(F64:F71)/100000</f>
        <v>0.99533439999999984</v>
      </c>
    </row>
    <row r="79" spans="1:6">
      <c r="A79" t="s">
        <v>37</v>
      </c>
      <c r="B79" t="s">
        <v>39</v>
      </c>
      <c r="C79" t="s">
        <v>57</v>
      </c>
      <c r="D79" t="s">
        <v>41</v>
      </c>
      <c r="E79" t="s">
        <v>44</v>
      </c>
      <c r="F79" t="s">
        <v>58</v>
      </c>
    </row>
    <row r="80" spans="1:6">
      <c r="A80">
        <v>10</v>
      </c>
      <c r="B80" s="8">
        <v>8620000</v>
      </c>
      <c r="C80" s="18">
        <v>5816</v>
      </c>
      <c r="D80" s="8">
        <v>494603</v>
      </c>
      <c r="E80" s="15">
        <f>C80/B80</f>
        <v>6.747099767981439E-4</v>
      </c>
      <c r="F80" s="16">
        <f>E80*D80/100000</f>
        <v>3.3371357865429234E-3</v>
      </c>
    </row>
    <row r="81" spans="1:6">
      <c r="A81">
        <v>15</v>
      </c>
      <c r="B81" s="8">
        <v>8371000</v>
      </c>
      <c r="C81" s="8">
        <v>253979</v>
      </c>
      <c r="D81" s="8">
        <v>493804</v>
      </c>
      <c r="E81" s="15">
        <f t="shared" ref="E81:E87" si="11">C81/B81</f>
        <v>3.0340341655716162E-2</v>
      </c>
      <c r="F81" s="16">
        <f t="shared" ref="F81:F87" si="12">E81*D81/100000</f>
        <v>0.14982182070959263</v>
      </c>
    </row>
    <row r="82" spans="1:6">
      <c r="A82">
        <v>20</v>
      </c>
      <c r="B82" s="8">
        <v>9419000</v>
      </c>
      <c r="C82" s="8">
        <v>532712</v>
      </c>
      <c r="D82" s="8">
        <v>492552</v>
      </c>
      <c r="E82" s="15">
        <f t="shared" si="11"/>
        <v>5.6557171674275403E-2</v>
      </c>
      <c r="F82" s="16">
        <f t="shared" si="12"/>
        <v>0.27857348022507694</v>
      </c>
    </row>
    <row r="83" spans="1:6">
      <c r="A83">
        <v>25</v>
      </c>
      <c r="B83" s="8">
        <v>10325000</v>
      </c>
      <c r="C83" s="8">
        <v>596823</v>
      </c>
      <c r="D83" s="8">
        <v>491138</v>
      </c>
      <c r="E83" s="15">
        <f t="shared" si="11"/>
        <v>5.7803680387409198E-2</v>
      </c>
      <c r="F83" s="16">
        <f t="shared" si="12"/>
        <v>0.28389583978111377</v>
      </c>
    </row>
    <row r="84" spans="1:6">
      <c r="A84">
        <v>30</v>
      </c>
      <c r="B84" s="8">
        <v>11125000</v>
      </c>
      <c r="C84" s="8">
        <v>431694</v>
      </c>
      <c r="D84" s="8">
        <v>489356</v>
      </c>
      <c r="E84" s="15">
        <f t="shared" si="11"/>
        <v>3.8803955056179777E-2</v>
      </c>
      <c r="F84" s="16">
        <f t="shared" si="12"/>
        <v>0.18988948230471908</v>
      </c>
    </row>
    <row r="85" spans="1:6">
      <c r="A85">
        <v>35</v>
      </c>
      <c r="B85" s="8">
        <v>10344000</v>
      </c>
      <c r="C85" s="8">
        <v>162005</v>
      </c>
      <c r="D85" s="8">
        <v>486941</v>
      </c>
      <c r="E85" s="15">
        <f t="shared" si="11"/>
        <v>1.5661736272235112E-2</v>
      </c>
      <c r="F85" s="16">
        <f t="shared" si="12"/>
        <v>7.626341522138437E-2</v>
      </c>
    </row>
    <row r="86" spans="1:6">
      <c r="A86">
        <v>40</v>
      </c>
      <c r="B86" s="8">
        <v>9496000</v>
      </c>
      <c r="C86" s="8">
        <v>25531</v>
      </c>
      <c r="D86" s="8">
        <v>483577</v>
      </c>
      <c r="E86" s="15">
        <f t="shared" si="11"/>
        <v>2.6886057287278855E-3</v>
      </c>
      <c r="F86" s="16">
        <f t="shared" si="12"/>
        <v>1.3001478924810447E-2</v>
      </c>
    </row>
    <row r="87" spans="1:6">
      <c r="A87">
        <v>45</v>
      </c>
      <c r="B87" s="8">
        <v>7188000</v>
      </c>
      <c r="C87">
        <v>829</v>
      </c>
      <c r="D87" s="8">
        <v>478475</v>
      </c>
      <c r="E87" s="15">
        <f t="shared" si="11"/>
        <v>1.1533110740122426E-4</v>
      </c>
      <c r="F87" s="16">
        <f t="shared" si="12"/>
        <v>5.5183051613800777E-4</v>
      </c>
    </row>
    <row r="88" spans="1:6">
      <c r="A88" t="s">
        <v>38</v>
      </c>
      <c r="F88" s="9"/>
    </row>
    <row r="89" spans="1:6">
      <c r="D89" t="s">
        <v>10</v>
      </c>
      <c r="E89" s="15">
        <f>SUM(E80:E87)*5</f>
        <v>1.0132276592937144</v>
      </c>
      <c r="F89" s="19">
        <f>SUM(F80:F87)</f>
        <v>0.99533448346937814</v>
      </c>
    </row>
    <row r="95" spans="1:6" ht="12.9" thickBot="1"/>
    <row r="96" spans="1:6" ht="12.9" thickBot="1">
      <c r="A96" s="29" t="s">
        <v>47</v>
      </c>
      <c r="B96" s="30"/>
      <c r="C96" s="30"/>
      <c r="D96" s="30"/>
      <c r="E96" s="30"/>
      <c r="F96" s="31"/>
    </row>
    <row r="97" spans="1:6" ht="12.9" thickBot="1">
      <c r="A97" s="10" t="s">
        <v>48</v>
      </c>
      <c r="B97" s="11" t="s">
        <v>49</v>
      </c>
      <c r="C97" s="11" t="s">
        <v>50</v>
      </c>
      <c r="D97" s="11" t="s">
        <v>51</v>
      </c>
      <c r="E97" s="11" t="s">
        <v>52</v>
      </c>
      <c r="F97" s="11" t="s">
        <v>53</v>
      </c>
    </row>
    <row r="98" spans="1:6" ht="12.9" thickBot="1">
      <c r="A98" s="10" t="s">
        <v>2</v>
      </c>
      <c r="B98" s="12">
        <v>8.4</v>
      </c>
      <c r="C98" s="12">
        <v>86.3</v>
      </c>
      <c r="D98" s="12">
        <v>5</v>
      </c>
      <c r="E98" s="12">
        <v>29.6</v>
      </c>
      <c r="F98" s="12">
        <v>38.700000000000003</v>
      </c>
    </row>
    <row r="99" spans="1:6" ht="12.9" thickBot="1">
      <c r="A99" s="10" t="s">
        <v>3</v>
      </c>
      <c r="B99" s="12">
        <v>142.5</v>
      </c>
      <c r="C99" s="12">
        <v>215.3</v>
      </c>
      <c r="D99" s="12">
        <v>36.1</v>
      </c>
      <c r="E99" s="12">
        <v>62.1</v>
      </c>
      <c r="F99" s="12">
        <v>209.7</v>
      </c>
    </row>
    <row r="100" spans="1:6" ht="12.9" thickBot="1">
      <c r="A100" s="10" t="s">
        <v>4</v>
      </c>
      <c r="B100" s="12">
        <v>120.3</v>
      </c>
      <c r="C100" s="12">
        <v>142.4</v>
      </c>
      <c r="D100" s="12">
        <v>85.5</v>
      </c>
      <c r="E100" s="12">
        <v>100.5</v>
      </c>
      <c r="F100" s="12">
        <v>275.39999999999998</v>
      </c>
    </row>
    <row r="101" spans="1:6" ht="12.9" thickBot="1">
      <c r="A101" s="10" t="s">
        <v>5</v>
      </c>
      <c r="B101" s="12">
        <v>41.8</v>
      </c>
      <c r="C101" s="12">
        <v>65.5</v>
      </c>
      <c r="D101" s="12">
        <v>90.2</v>
      </c>
      <c r="E101" s="12">
        <v>112</v>
      </c>
      <c r="F101" s="12">
        <v>243</v>
      </c>
    </row>
    <row r="102" spans="1:6" ht="12.9" thickBot="1">
      <c r="A102" s="10" t="s">
        <v>6</v>
      </c>
      <c r="B102" s="12">
        <v>10.6</v>
      </c>
      <c r="C102" s="12">
        <v>26.4</v>
      </c>
      <c r="D102" s="12">
        <v>40.9</v>
      </c>
      <c r="E102" s="12">
        <v>51.6</v>
      </c>
      <c r="F102" s="12">
        <v>200.7</v>
      </c>
    </row>
    <row r="103" spans="1:6" ht="12.9" thickBot="1">
      <c r="A103" s="10" t="s">
        <v>7</v>
      </c>
      <c r="B103" s="12">
        <v>3.4</v>
      </c>
      <c r="C103" s="12">
        <v>7.5</v>
      </c>
      <c r="D103" s="12">
        <v>6.2</v>
      </c>
      <c r="E103" s="12">
        <v>9.8000000000000007</v>
      </c>
      <c r="F103" s="12">
        <v>99.7</v>
      </c>
    </row>
    <row r="104" spans="1:6" ht="12.9" thickBot="1">
      <c r="A104" s="10" t="s">
        <v>54</v>
      </c>
      <c r="B104" s="12">
        <v>0.9</v>
      </c>
      <c r="C104" s="12">
        <v>1.7</v>
      </c>
      <c r="D104" s="12">
        <v>0.2</v>
      </c>
      <c r="E104" s="12">
        <v>0.3</v>
      </c>
      <c r="F104" s="12">
        <v>18.8</v>
      </c>
    </row>
  </sheetData>
  <mergeCells count="2">
    <mergeCell ref="B16:H16"/>
    <mergeCell ref="A96:F9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5" workbookViewId="0">
      <selection activeCell="K85" sqref="K85"/>
    </sheetView>
  </sheetViews>
  <sheetFormatPr defaultRowHeight="12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AA94-5E0A-48A4-85A3-8CAF147D55F1}">
  <dimension ref="A1:H10"/>
  <sheetViews>
    <sheetView tabSelected="1" zoomScale="140" zoomScaleNormal="140" workbookViewId="0">
      <selection activeCell="E10" sqref="E10"/>
    </sheetView>
  </sheetViews>
  <sheetFormatPr defaultRowHeight="12.45"/>
  <sheetData>
    <row r="1" spans="1:8" ht="30.9">
      <c r="A1" s="32" t="s">
        <v>1</v>
      </c>
      <c r="B1" s="32" t="s">
        <v>70</v>
      </c>
      <c r="C1" s="32" t="s">
        <v>71</v>
      </c>
      <c r="D1" s="32" t="s">
        <v>72</v>
      </c>
      <c r="E1" s="32" t="s">
        <v>73</v>
      </c>
      <c r="F1" s="32" t="s">
        <v>74</v>
      </c>
      <c r="G1" s="32" t="s">
        <v>75</v>
      </c>
      <c r="H1" s="32" t="s">
        <v>76</v>
      </c>
    </row>
    <row r="2" spans="1:8" ht="15.45">
      <c r="A2" s="32" t="s">
        <v>2</v>
      </c>
      <c r="B2" s="33">
        <v>0.04</v>
      </c>
      <c r="C2" s="33">
        <v>4.9000000000000002E-2</v>
      </c>
      <c r="D2" s="33">
        <v>4.4999999999999998E-2</v>
      </c>
      <c r="E2" s="33">
        <v>0.03</v>
      </c>
      <c r="F2" s="33">
        <v>0.03</v>
      </c>
      <c r="G2" s="33">
        <v>3.1E-2</v>
      </c>
      <c r="H2" s="33">
        <v>3.3000000000000002E-2</v>
      </c>
    </row>
    <row r="3" spans="1:8" ht="15.45">
      <c r="A3" s="32" t="s">
        <v>3</v>
      </c>
      <c r="B3" s="33">
        <v>0.17499999999999999</v>
      </c>
      <c r="C3" s="33">
        <v>0.16500000000000001</v>
      </c>
      <c r="D3" s="33">
        <v>0.13</v>
      </c>
      <c r="E3" s="33">
        <v>0.108</v>
      </c>
      <c r="F3" s="33">
        <v>9.5000000000000001E-2</v>
      </c>
      <c r="G3" s="33">
        <v>9.4E-2</v>
      </c>
      <c r="H3" s="33">
        <v>8.7999999999999995E-2</v>
      </c>
    </row>
    <row r="4" spans="1:8" ht="15.45">
      <c r="A4" s="32" t="s">
        <v>4</v>
      </c>
      <c r="B4" s="33">
        <v>0.183</v>
      </c>
      <c r="C4" s="33">
        <v>0.16400000000000001</v>
      </c>
      <c r="D4" s="33">
        <v>0.13500000000000001</v>
      </c>
      <c r="E4" s="33">
        <v>0.125</v>
      </c>
      <c r="F4" s="33">
        <v>0.127</v>
      </c>
      <c r="G4" s="33">
        <v>0.125</v>
      </c>
      <c r="H4" s="33">
        <v>0.12</v>
      </c>
    </row>
    <row r="5" spans="1:8" ht="15.45">
      <c r="A5" s="32" t="s">
        <v>5</v>
      </c>
      <c r="B5" s="33">
        <v>0.105</v>
      </c>
      <c r="C5" s="33">
        <v>0.09</v>
      </c>
      <c r="D5" s="33">
        <v>6.7000000000000004E-2</v>
      </c>
      <c r="E5" s="33">
        <v>6.5000000000000002E-2</v>
      </c>
      <c r="F5" s="33">
        <v>7.4999999999999997E-2</v>
      </c>
      <c r="G5" s="33">
        <v>8.4000000000000005E-2</v>
      </c>
      <c r="H5" s="33">
        <v>8.6999999999999994E-2</v>
      </c>
    </row>
    <row r="6" spans="1:8" ht="15.45">
      <c r="A6" s="32" t="s">
        <v>6</v>
      </c>
      <c r="B6" s="33">
        <v>4.9000000000000002E-2</v>
      </c>
      <c r="C6" s="33">
        <v>0.04</v>
      </c>
      <c r="D6" s="33">
        <v>2.5000000000000001E-2</v>
      </c>
      <c r="E6" s="33">
        <v>0.02</v>
      </c>
      <c r="F6" s="33">
        <v>2.4E-2</v>
      </c>
      <c r="G6" s="33">
        <v>0.03</v>
      </c>
      <c r="H6" s="33">
        <v>3.3000000000000002E-2</v>
      </c>
    </row>
    <row r="7" spans="1:8" ht="15.45">
      <c r="A7" s="32" t="s">
        <v>7</v>
      </c>
      <c r="B7" s="33">
        <v>1.4999999999999999E-2</v>
      </c>
      <c r="C7" s="33">
        <v>0.01</v>
      </c>
      <c r="D7" s="33">
        <v>7.0000000000000001E-3</v>
      </c>
      <c r="E7" s="33">
        <v>5.0000000000000001E-3</v>
      </c>
      <c r="F7" s="33">
        <v>5.0000000000000001E-3</v>
      </c>
      <c r="G7" s="33">
        <v>5.0000000000000001E-3</v>
      </c>
      <c r="H7" s="33">
        <v>6.0000000000000001E-3</v>
      </c>
    </row>
    <row r="8" spans="1:8" ht="15.45">
      <c r="A8" s="32" t="s">
        <v>54</v>
      </c>
      <c r="B8" s="34">
        <v>0</v>
      </c>
      <c r="C8" s="34">
        <v>0</v>
      </c>
      <c r="D8" s="34">
        <v>0</v>
      </c>
      <c r="E8" s="34">
        <v>1E-3</v>
      </c>
      <c r="F8" s="34">
        <v>1E-3</v>
      </c>
      <c r="G8" s="34">
        <v>1E-3</v>
      </c>
      <c r="H8" s="34">
        <v>1E-3</v>
      </c>
    </row>
    <row r="10" spans="1:8" ht="15.45">
      <c r="A10" s="32" t="s">
        <v>9</v>
      </c>
      <c r="B10">
        <f>SUM(B2:B8)*5</f>
        <v>2.8350000000000004</v>
      </c>
      <c r="C10">
        <f t="shared" ref="C10:H10" si="0">SUM(C2:C8)*5</f>
        <v>2.59</v>
      </c>
      <c r="D10">
        <f t="shared" si="0"/>
        <v>2.0449999999999999</v>
      </c>
      <c r="E10" s="4">
        <f t="shared" si="0"/>
        <v>1.7700000000000002</v>
      </c>
      <c r="F10" s="4">
        <f t="shared" si="0"/>
        <v>1.7850000000000001</v>
      </c>
      <c r="G10" s="4">
        <f t="shared" si="0"/>
        <v>1.85</v>
      </c>
      <c r="H10" s="4">
        <f t="shared" si="0"/>
        <v>1.8399999999999999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</vt:lpstr>
      <vt:lpstr>Sheet2</vt:lpstr>
      <vt:lpstr>Sheet3</vt:lpstr>
      <vt:lpstr>Sheet1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Shivakumar Jolad</cp:lastModifiedBy>
  <dcterms:created xsi:type="dcterms:W3CDTF">2022-01-18T00:53:15Z</dcterms:created>
  <dcterms:modified xsi:type="dcterms:W3CDTF">2024-03-16T05:02:58Z</dcterms:modified>
</cp:coreProperties>
</file>