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ography-UG2\PUBP233-IntroDemog_2024\DataSheets\"/>
    </mc:Choice>
  </mc:AlternateContent>
  <xr:revisionPtr revIDLastSave="0" documentId="13_ncr:1_{5D178959-4682-4C8F-AEDC-458B3F8EB320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PrestonTable" sheetId="1" r:id="rId1"/>
    <sheet name="ForStudent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G5" i="2"/>
  <c r="H5" i="2" s="1"/>
  <c r="G6" i="2"/>
  <c r="H6" i="2" s="1"/>
  <c r="G7" i="2"/>
  <c r="H7" i="2" s="1"/>
  <c r="G8" i="2"/>
  <c r="H8" i="2" s="1"/>
  <c r="F10" i="2"/>
  <c r="G9" i="2" s="1"/>
  <c r="H9" i="2" s="1"/>
  <c r="F3" i="2"/>
  <c r="F4" i="2"/>
  <c r="F5" i="2"/>
  <c r="F6" i="2"/>
  <c r="F7" i="2"/>
  <c r="F8" i="2"/>
  <c r="F9" i="2"/>
  <c r="F2" i="2"/>
  <c r="E4" i="2"/>
  <c r="E3" i="2"/>
  <c r="E2" i="2"/>
  <c r="E5" i="2"/>
  <c r="E6" i="2"/>
  <c r="E7" i="2"/>
  <c r="E8" i="2"/>
  <c r="E9" i="2"/>
  <c r="E10" i="2"/>
  <c r="D5" i="2"/>
  <c r="D6" i="2"/>
  <c r="D7" i="2"/>
  <c r="D8" i="2"/>
  <c r="D9" i="2"/>
  <c r="D10" i="2"/>
  <c r="D4" i="2"/>
  <c r="D3" i="2"/>
  <c r="I15" i="1"/>
  <c r="I16" i="1"/>
  <c r="I17" i="1"/>
  <c r="I18" i="1"/>
  <c r="I19" i="1"/>
  <c r="I20" i="1"/>
  <c r="I21" i="1"/>
  <c r="I22" i="1"/>
  <c r="I14" i="1"/>
  <c r="H15" i="1"/>
  <c r="H16" i="1"/>
  <c r="H17" i="1"/>
  <c r="H18" i="1"/>
  <c r="H19" i="1"/>
  <c r="H20" i="1"/>
  <c r="H21" i="1"/>
  <c r="H22" i="1"/>
  <c r="H14" i="1"/>
  <c r="G15" i="1"/>
  <c r="G16" i="1"/>
  <c r="G17" i="1"/>
  <c r="G18" i="1"/>
  <c r="G19" i="1"/>
  <c r="G20" i="1"/>
  <c r="G21" i="1"/>
  <c r="G22" i="1"/>
  <c r="G14" i="1"/>
  <c r="E15" i="1"/>
  <c r="E16" i="1"/>
  <c r="E17" i="1"/>
  <c r="E18" i="1"/>
  <c r="E19" i="1"/>
  <c r="E20" i="1"/>
  <c r="E21" i="1"/>
  <c r="E22" i="1"/>
  <c r="E14" i="1"/>
  <c r="D16" i="1"/>
  <c r="D17" i="1" s="1"/>
  <c r="D18" i="1" s="1"/>
  <c r="D19" i="1" s="1"/>
  <c r="D20" i="1" s="1"/>
  <c r="D21" i="1" s="1"/>
  <c r="D22" i="1" s="1"/>
  <c r="D15" i="1"/>
  <c r="D14" i="1"/>
  <c r="G4" i="2" l="1"/>
  <c r="H4" i="2" s="1"/>
  <c r="G2" i="2"/>
  <c r="H2" i="2" s="1"/>
  <c r="G3" i="2"/>
  <c r="H3" i="2" s="1"/>
  <c r="G10" i="2"/>
  <c r="H10" i="2" s="1"/>
</calcChain>
</file>

<file path=xl/sharedStrings.xml><?xml version="1.0" encoding="utf-8"?>
<sst xmlns="http://schemas.openxmlformats.org/spreadsheetml/2006/main" count="118" uniqueCount="72">
  <si>
    <t>Age x</t>
  </si>
  <si>
    <t>n</t>
  </si>
  <si>
    <t>ndx</t>
  </si>
  <si>
    <t>Tx</t>
  </si>
  <si>
    <t>0</t>
  </si>
  <si>
    <t>5</t>
  </si>
  <si>
    <t>655</t>
  </si>
  <si>
    <t>0.00000</t>
  </si>
  <si>
    <t>2.5</t>
  </si>
  <si>
    <t>3275.0</t>
  </si>
  <si>
    <t>9202.5</t>
  </si>
  <si>
    <t>14.05</t>
  </si>
  <si>
    <t>5927.5</t>
  </si>
  <si>
    <t>9.05</t>
  </si>
  <si>
    <t>10</t>
  </si>
  <si>
    <t>2</t>
  </si>
  <si>
    <t>119</t>
  </si>
  <si>
    <t>0.18168</t>
  </si>
  <si>
    <t>1.0</t>
  </si>
  <si>
    <t>1191.0</t>
  </si>
  <si>
    <t>2652.5</t>
  </si>
  <si>
    <t>4.05</t>
  </si>
  <si>
    <t>12</t>
  </si>
  <si>
    <t>3</t>
  </si>
  <si>
    <t>536</t>
  </si>
  <si>
    <t>388</t>
  </si>
  <si>
    <t>0.72388</t>
  </si>
  <si>
    <t>1.5</t>
  </si>
  <si>
    <t>1026.0</t>
  </si>
  <si>
    <t>1461.5</t>
  </si>
  <si>
    <t>2.73</t>
  </si>
  <si>
    <t>15</t>
  </si>
  <si>
    <t>148</t>
  </si>
  <si>
    <t>106</t>
  </si>
  <si>
    <t>0.71622</t>
  </si>
  <si>
    <t>285.0</t>
  </si>
  <si>
    <t>435.5</t>
  </si>
  <si>
    <t>2.94</t>
  </si>
  <si>
    <t>18</t>
  </si>
  <si>
    <t>42</t>
  </si>
  <si>
    <t>16</t>
  </si>
  <si>
    <t>0.38095</t>
  </si>
  <si>
    <t>68.0</t>
  </si>
  <si>
    <t>150.5</t>
  </si>
  <si>
    <t>3.58</t>
  </si>
  <si>
    <t>20</t>
  </si>
  <si>
    <t>26</t>
  </si>
  <si>
    <t>13</t>
  </si>
  <si>
    <t>0.50000</t>
  </si>
  <si>
    <t>39.0</t>
  </si>
  <si>
    <t>82.5</t>
  </si>
  <si>
    <t>3.17</t>
  </si>
  <si>
    <t>22</t>
  </si>
  <si>
    <t>7</t>
  </si>
  <si>
    <t>0.53846</t>
  </si>
  <si>
    <t>28.5</t>
  </si>
  <si>
    <t>43.5</t>
  </si>
  <si>
    <t>3.35</t>
  </si>
  <si>
    <t>25</t>
  </si>
  <si>
    <t>6</t>
  </si>
  <si>
    <t>1.00000</t>
  </si>
  <si>
    <t>15.0</t>
  </si>
  <si>
    <t>2.50</t>
  </si>
  <si>
    <t>lx</t>
  </si>
  <si>
    <t>nqx</t>
  </si>
  <si>
    <t>a(x,n)</t>
  </si>
  <si>
    <t>L(x,n)</t>
  </si>
  <si>
    <t>e(x)</t>
  </si>
  <si>
    <t>ndx (no of women married x to x+n)</t>
  </si>
  <si>
    <t>T(x)</t>
  </si>
  <si>
    <t>N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</si>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</sst>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I14" sqref="I14:I22"/>
    </sheetView>
  </sheetViews>
  <sheetFormatPr defaultRowHeight="15.9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3</v>
      </c>
      <c r="I1" s="1" t="s">
        <v>67</v>
      </c>
    </row>
    <row r="2" spans="1:9" x14ac:dyDescent="0.45">
      <c r="A2" t="s">
        <v>4</v>
      </c>
      <c r="B2" t="s">
        <v>5</v>
      </c>
      <c r="C2" t="s">
        <v>4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</row>
    <row r="3" spans="1:9" x14ac:dyDescent="0.45">
      <c r="A3" t="s">
        <v>5</v>
      </c>
      <c r="B3" t="s">
        <v>5</v>
      </c>
      <c r="C3" t="s">
        <v>4</v>
      </c>
      <c r="D3" t="s">
        <v>6</v>
      </c>
      <c r="E3" t="s">
        <v>7</v>
      </c>
      <c r="F3" t="s">
        <v>8</v>
      </c>
      <c r="G3" t="s">
        <v>9</v>
      </c>
      <c r="H3" t="s">
        <v>12</v>
      </c>
      <c r="I3" t="s">
        <v>13</v>
      </c>
    </row>
    <row r="4" spans="1:9" x14ac:dyDescent="0.45">
      <c r="A4" t="s">
        <v>14</v>
      </c>
      <c r="B4" t="s">
        <v>15</v>
      </c>
      <c r="C4" t="s">
        <v>16</v>
      </c>
      <c r="D4" t="s">
        <v>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</row>
    <row r="5" spans="1:9" x14ac:dyDescent="0.45">
      <c r="A5" t="s">
        <v>22</v>
      </c>
      <c r="B5" t="s">
        <v>23</v>
      </c>
      <c r="C5" t="s">
        <v>25</v>
      </c>
      <c r="D5" t="s">
        <v>24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 spans="1:9" x14ac:dyDescent="0.45">
      <c r="A6" t="s">
        <v>31</v>
      </c>
      <c r="B6" t="s">
        <v>23</v>
      </c>
      <c r="C6" t="s">
        <v>33</v>
      </c>
      <c r="D6" t="s">
        <v>32</v>
      </c>
      <c r="E6" t="s">
        <v>34</v>
      </c>
      <c r="F6" t="s">
        <v>27</v>
      </c>
      <c r="G6" t="s">
        <v>35</v>
      </c>
      <c r="H6" t="s">
        <v>36</v>
      </c>
      <c r="I6" t="s">
        <v>37</v>
      </c>
    </row>
    <row r="7" spans="1:9" x14ac:dyDescent="0.45">
      <c r="A7" t="s">
        <v>38</v>
      </c>
      <c r="B7" t="s">
        <v>15</v>
      </c>
      <c r="C7" t="s">
        <v>40</v>
      </c>
      <c r="D7" t="s">
        <v>39</v>
      </c>
      <c r="E7" t="s">
        <v>41</v>
      </c>
      <c r="F7" t="s">
        <v>18</v>
      </c>
      <c r="G7" t="s">
        <v>42</v>
      </c>
      <c r="H7" t="s">
        <v>43</v>
      </c>
      <c r="I7" t="s">
        <v>44</v>
      </c>
    </row>
    <row r="8" spans="1:9" x14ac:dyDescent="0.45">
      <c r="A8" t="s">
        <v>45</v>
      </c>
      <c r="B8" t="s">
        <v>15</v>
      </c>
      <c r="C8" t="s">
        <v>47</v>
      </c>
      <c r="D8" t="s">
        <v>46</v>
      </c>
      <c r="E8" t="s">
        <v>48</v>
      </c>
      <c r="F8" t="s">
        <v>18</v>
      </c>
      <c r="G8" t="s">
        <v>49</v>
      </c>
      <c r="H8" t="s">
        <v>50</v>
      </c>
      <c r="I8" t="s">
        <v>51</v>
      </c>
    </row>
    <row r="9" spans="1:9" x14ac:dyDescent="0.45">
      <c r="A9" t="s">
        <v>52</v>
      </c>
      <c r="B9" t="s">
        <v>23</v>
      </c>
      <c r="C9" t="s">
        <v>53</v>
      </c>
      <c r="D9" t="s">
        <v>47</v>
      </c>
      <c r="E9" t="s">
        <v>54</v>
      </c>
      <c r="F9" t="s">
        <v>27</v>
      </c>
      <c r="G9" t="s">
        <v>55</v>
      </c>
      <c r="H9" t="s">
        <v>56</v>
      </c>
      <c r="I9" t="s">
        <v>57</v>
      </c>
    </row>
    <row r="10" spans="1:9" x14ac:dyDescent="0.45">
      <c r="A10" t="s">
        <v>58</v>
      </c>
      <c r="B10" t="s">
        <v>5</v>
      </c>
      <c r="C10" t="s">
        <v>59</v>
      </c>
      <c r="D10" t="s">
        <v>59</v>
      </c>
      <c r="E10" t="s">
        <v>60</v>
      </c>
      <c r="F10" t="s">
        <v>8</v>
      </c>
      <c r="G10" t="s">
        <v>61</v>
      </c>
      <c r="H10" t="s">
        <v>61</v>
      </c>
      <c r="I10" t="s">
        <v>62</v>
      </c>
    </row>
    <row r="13" spans="1:9" x14ac:dyDescent="0.45">
      <c r="A13" s="1" t="s">
        <v>0</v>
      </c>
      <c r="B13" s="1" t="s">
        <v>1</v>
      </c>
      <c r="C13" s="1" t="s">
        <v>68</v>
      </c>
      <c r="D13" s="1" t="s">
        <v>63</v>
      </c>
      <c r="E13" s="1" t="s">
        <v>64</v>
      </c>
      <c r="F13" s="1" t="s">
        <v>65</v>
      </c>
      <c r="G13" s="1" t="s">
        <v>66</v>
      </c>
      <c r="H13" s="1" t="s">
        <v>69</v>
      </c>
      <c r="I13" s="1" t="s">
        <v>67</v>
      </c>
    </row>
    <row r="14" spans="1:9" x14ac:dyDescent="0.45">
      <c r="A14">
        <v>0</v>
      </c>
      <c r="B14">
        <v>5</v>
      </c>
      <c r="C14">
        <v>0</v>
      </c>
      <c r="D14">
        <f>655-C14</f>
        <v>655</v>
      </c>
      <c r="E14">
        <f>C14/D14</f>
        <v>0</v>
      </c>
      <c r="F14" t="s">
        <v>8</v>
      </c>
      <c r="G14">
        <f>(D14+D15)/2*B14</f>
        <v>3275</v>
      </c>
      <c r="H14">
        <f>SUM(G14:G22)</f>
        <v>9202.5</v>
      </c>
      <c r="I14" s="2">
        <f>H14/D14</f>
        <v>14.049618320610687</v>
      </c>
    </row>
    <row r="15" spans="1:9" x14ac:dyDescent="0.45">
      <c r="A15">
        <v>5</v>
      </c>
      <c r="B15">
        <v>5</v>
      </c>
      <c r="C15">
        <v>0</v>
      </c>
      <c r="D15">
        <f>D14-C14</f>
        <v>655</v>
      </c>
      <c r="E15">
        <f t="shared" ref="E15:E22" si="0">C15/D15</f>
        <v>0</v>
      </c>
      <c r="F15" t="s">
        <v>8</v>
      </c>
      <c r="G15">
        <f t="shared" ref="G15:G22" si="1">(D15+D16)/2*B15</f>
        <v>3275</v>
      </c>
      <c r="H15">
        <f t="shared" ref="H15:H22" si="2">SUM(G15:G23)</f>
        <v>5927.5</v>
      </c>
      <c r="I15" s="2">
        <f t="shared" ref="I15:I22" si="3">H15/D15</f>
        <v>9.0496183206106871</v>
      </c>
    </row>
    <row r="16" spans="1:9" x14ac:dyDescent="0.45">
      <c r="A16">
        <v>10</v>
      </c>
      <c r="B16">
        <v>2</v>
      </c>
      <c r="C16">
        <v>119</v>
      </c>
      <c r="D16">
        <f t="shared" ref="D16:D22" si="4">D15-C15</f>
        <v>655</v>
      </c>
      <c r="E16">
        <f t="shared" si="0"/>
        <v>0.18167938931297709</v>
      </c>
      <c r="F16" t="s">
        <v>18</v>
      </c>
      <c r="G16">
        <f t="shared" si="1"/>
        <v>1191</v>
      </c>
      <c r="H16">
        <f t="shared" si="2"/>
        <v>2652.5</v>
      </c>
      <c r="I16" s="2">
        <f t="shared" si="3"/>
        <v>4.0496183206106871</v>
      </c>
    </row>
    <row r="17" spans="1:9" x14ac:dyDescent="0.45">
      <c r="A17">
        <v>12</v>
      </c>
      <c r="B17">
        <v>3</v>
      </c>
      <c r="C17">
        <v>388</v>
      </c>
      <c r="D17">
        <f t="shared" si="4"/>
        <v>536</v>
      </c>
      <c r="E17">
        <f t="shared" si="0"/>
        <v>0.72388059701492535</v>
      </c>
      <c r="F17" t="s">
        <v>27</v>
      </c>
      <c r="G17">
        <f t="shared" si="1"/>
        <v>1026</v>
      </c>
      <c r="H17">
        <f t="shared" si="2"/>
        <v>1461.5</v>
      </c>
      <c r="I17" s="2">
        <f t="shared" si="3"/>
        <v>2.7266791044776117</v>
      </c>
    </row>
    <row r="18" spans="1:9" x14ac:dyDescent="0.45">
      <c r="A18">
        <v>15</v>
      </c>
      <c r="B18">
        <v>3</v>
      </c>
      <c r="C18">
        <v>106</v>
      </c>
      <c r="D18">
        <f t="shared" si="4"/>
        <v>148</v>
      </c>
      <c r="E18">
        <f t="shared" si="0"/>
        <v>0.71621621621621623</v>
      </c>
      <c r="F18" t="s">
        <v>27</v>
      </c>
      <c r="G18">
        <f t="shared" si="1"/>
        <v>285</v>
      </c>
      <c r="H18">
        <f t="shared" si="2"/>
        <v>435.5</v>
      </c>
      <c r="I18" s="2">
        <f t="shared" si="3"/>
        <v>2.9425675675675675</v>
      </c>
    </row>
    <row r="19" spans="1:9" x14ac:dyDescent="0.45">
      <c r="A19">
        <v>18</v>
      </c>
      <c r="B19">
        <v>2</v>
      </c>
      <c r="C19">
        <v>16</v>
      </c>
      <c r="D19">
        <f t="shared" si="4"/>
        <v>42</v>
      </c>
      <c r="E19">
        <f t="shared" si="0"/>
        <v>0.38095238095238093</v>
      </c>
      <c r="F19" t="s">
        <v>18</v>
      </c>
      <c r="G19">
        <f t="shared" si="1"/>
        <v>68</v>
      </c>
      <c r="H19">
        <f t="shared" si="2"/>
        <v>150.5</v>
      </c>
      <c r="I19" s="2">
        <f t="shared" si="3"/>
        <v>3.5833333333333335</v>
      </c>
    </row>
    <row r="20" spans="1:9" x14ac:dyDescent="0.45">
      <c r="A20">
        <v>20</v>
      </c>
      <c r="B20">
        <v>2</v>
      </c>
      <c r="C20">
        <v>13</v>
      </c>
      <c r="D20">
        <f t="shared" si="4"/>
        <v>26</v>
      </c>
      <c r="E20">
        <f t="shared" si="0"/>
        <v>0.5</v>
      </c>
      <c r="F20" t="s">
        <v>18</v>
      </c>
      <c r="G20">
        <f t="shared" si="1"/>
        <v>39</v>
      </c>
      <c r="H20">
        <f t="shared" si="2"/>
        <v>82.5</v>
      </c>
      <c r="I20" s="2">
        <f t="shared" si="3"/>
        <v>3.1730769230769229</v>
      </c>
    </row>
    <row r="21" spans="1:9" x14ac:dyDescent="0.45">
      <c r="A21">
        <v>22</v>
      </c>
      <c r="B21">
        <v>3</v>
      </c>
      <c r="C21">
        <v>7</v>
      </c>
      <c r="D21">
        <f t="shared" si="4"/>
        <v>13</v>
      </c>
      <c r="E21">
        <f t="shared" si="0"/>
        <v>0.53846153846153844</v>
      </c>
      <c r="F21" t="s">
        <v>27</v>
      </c>
      <c r="G21">
        <f t="shared" si="1"/>
        <v>28.5</v>
      </c>
      <c r="H21">
        <f t="shared" si="2"/>
        <v>43.5</v>
      </c>
      <c r="I21" s="2">
        <f t="shared" si="3"/>
        <v>3.3461538461538463</v>
      </c>
    </row>
    <row r="22" spans="1:9" x14ac:dyDescent="0.45">
      <c r="A22">
        <v>25</v>
      </c>
      <c r="B22">
        <v>5</v>
      </c>
      <c r="C22">
        <v>6</v>
      </c>
      <c r="D22">
        <f t="shared" si="4"/>
        <v>6</v>
      </c>
      <c r="E22">
        <f t="shared" si="0"/>
        <v>1</v>
      </c>
      <c r="F22" t="s">
        <v>8</v>
      </c>
      <c r="G22">
        <f t="shared" si="1"/>
        <v>15</v>
      </c>
      <c r="H22">
        <f t="shared" si="2"/>
        <v>15</v>
      </c>
      <c r="I22" s="2">
        <f t="shared" si="3"/>
        <v>2.5</v>
      </c>
    </row>
  </sheetData>
  <pageMargins left="0.7" right="0.7" top="0.75" bottom="0.75" header="0.3" footer="0.3"/>
  <ignoredErrors>
    <ignoredError sqref="A2:B10 A1:B1 H1 E2:I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C4FD-36ED-41B7-BEE5-ADE6BC935967}">
  <dimension ref="A1:I12"/>
  <sheetViews>
    <sheetView tabSelected="1" workbookViewId="0">
      <selection activeCell="I3" sqref="I3"/>
    </sheetView>
  </sheetViews>
  <sheetFormatPr defaultRowHeight="15.9" x14ac:dyDescent="0.45"/>
  <sheetData>
    <row r="1" spans="1:9" x14ac:dyDescent="0.45">
      <c r="A1" s="1" t="s">
        <v>0</v>
      </c>
      <c r="B1" s="1" t="s">
        <v>1</v>
      </c>
      <c r="C1" s="1" t="s">
        <v>68</v>
      </c>
      <c r="D1" s="1" t="s">
        <v>63</v>
      </c>
      <c r="E1" s="1" t="s">
        <v>64</v>
      </c>
      <c r="F1" s="1" t="s">
        <v>66</v>
      </c>
      <c r="G1" s="1" t="s">
        <v>69</v>
      </c>
      <c r="H1" s="1" t="s">
        <v>67</v>
      </c>
    </row>
    <row r="2" spans="1:9" x14ac:dyDescent="0.45">
      <c r="A2">
        <v>0</v>
      </c>
      <c r="B2">
        <v>5</v>
      </c>
      <c r="C2">
        <v>0</v>
      </c>
      <c r="D2">
        <v>655</v>
      </c>
      <c r="E2">
        <f>C2/D2</f>
        <v>0</v>
      </c>
      <c r="F2">
        <f>1/2*(D2+D3)*B2</f>
        <v>3275</v>
      </c>
      <c r="G2">
        <f>SUM(F2:F10)</f>
        <v>9202.5</v>
      </c>
      <c r="H2" s="3">
        <f>G2/D2</f>
        <v>14.049618320610687</v>
      </c>
    </row>
    <row r="3" spans="1:9" x14ac:dyDescent="0.45">
      <c r="A3">
        <v>5</v>
      </c>
      <c r="B3">
        <v>5</v>
      </c>
      <c r="C3">
        <v>0</v>
      </c>
      <c r="D3">
        <f>D2-C2</f>
        <v>655</v>
      </c>
      <c r="E3">
        <f>C3/D3</f>
        <v>0</v>
      </c>
      <c r="F3">
        <f t="shared" ref="F3:F10" si="0">1/2*(D3+D4)*B3</f>
        <v>3275</v>
      </c>
      <c r="G3">
        <f t="shared" ref="G3:G10" si="1">SUM(F3:F11)</f>
        <v>5927.5</v>
      </c>
      <c r="H3" s="3">
        <f t="shared" ref="H3:H10" si="2">G3/D3</f>
        <v>9.0496183206106871</v>
      </c>
      <c r="I3" t="s">
        <v>71</v>
      </c>
    </row>
    <row r="4" spans="1:9" x14ac:dyDescent="0.45">
      <c r="A4">
        <v>10</v>
      </c>
      <c r="B4">
        <v>2</v>
      </c>
      <c r="C4">
        <v>119</v>
      </c>
      <c r="D4">
        <f>D3-C3</f>
        <v>655</v>
      </c>
      <c r="E4">
        <f>C4/D4</f>
        <v>0.18167938931297709</v>
      </c>
      <c r="F4">
        <f t="shared" si="0"/>
        <v>1191</v>
      </c>
      <c r="G4">
        <f t="shared" si="1"/>
        <v>2652.5</v>
      </c>
      <c r="H4" s="3">
        <f t="shared" si="2"/>
        <v>4.0496183206106871</v>
      </c>
    </row>
    <row r="5" spans="1:9" x14ac:dyDescent="0.45">
      <c r="A5">
        <v>12</v>
      </c>
      <c r="B5">
        <v>3</v>
      </c>
      <c r="C5">
        <v>388</v>
      </c>
      <c r="D5">
        <f>D4-C4</f>
        <v>536</v>
      </c>
      <c r="E5">
        <f t="shared" ref="E3:E10" si="3">C5/D5</f>
        <v>0.72388059701492535</v>
      </c>
      <c r="F5">
        <f t="shared" si="0"/>
        <v>1026</v>
      </c>
      <c r="G5">
        <f t="shared" si="1"/>
        <v>1461.5</v>
      </c>
      <c r="H5" s="3">
        <f t="shared" si="2"/>
        <v>2.7266791044776117</v>
      </c>
    </row>
    <row r="6" spans="1:9" x14ac:dyDescent="0.45">
      <c r="A6">
        <v>15</v>
      </c>
      <c r="B6">
        <v>3</v>
      </c>
      <c r="C6">
        <v>106</v>
      </c>
      <c r="D6">
        <f t="shared" ref="D5:D10" si="4">D5-C5</f>
        <v>148</v>
      </c>
      <c r="E6">
        <f t="shared" si="3"/>
        <v>0.71621621621621623</v>
      </c>
      <c r="F6">
        <f t="shared" si="0"/>
        <v>285</v>
      </c>
      <c r="G6">
        <f t="shared" si="1"/>
        <v>435.5</v>
      </c>
      <c r="H6" s="3">
        <f t="shared" si="2"/>
        <v>2.9425675675675675</v>
      </c>
    </row>
    <row r="7" spans="1:9" x14ac:dyDescent="0.45">
      <c r="A7">
        <v>18</v>
      </c>
      <c r="B7">
        <v>2</v>
      </c>
      <c r="C7">
        <v>16</v>
      </c>
      <c r="D7">
        <f t="shared" si="4"/>
        <v>42</v>
      </c>
      <c r="E7">
        <f t="shared" si="3"/>
        <v>0.38095238095238093</v>
      </c>
      <c r="F7">
        <f t="shared" si="0"/>
        <v>68</v>
      </c>
      <c r="G7">
        <f t="shared" si="1"/>
        <v>150.5</v>
      </c>
      <c r="H7" s="3">
        <f t="shared" si="2"/>
        <v>3.5833333333333335</v>
      </c>
    </row>
    <row r="8" spans="1:9" x14ac:dyDescent="0.45">
      <c r="A8">
        <v>20</v>
      </c>
      <c r="B8">
        <v>2</v>
      </c>
      <c r="C8">
        <v>13</v>
      </c>
      <c r="D8">
        <f t="shared" si="4"/>
        <v>26</v>
      </c>
      <c r="E8">
        <f t="shared" si="3"/>
        <v>0.5</v>
      </c>
      <c r="F8">
        <f t="shared" si="0"/>
        <v>39</v>
      </c>
      <c r="G8">
        <f t="shared" si="1"/>
        <v>82.5</v>
      </c>
      <c r="H8" s="3">
        <f t="shared" si="2"/>
        <v>3.1730769230769229</v>
      </c>
    </row>
    <row r="9" spans="1:9" x14ac:dyDescent="0.45">
      <c r="A9">
        <v>22</v>
      </c>
      <c r="B9">
        <v>3</v>
      </c>
      <c r="C9">
        <v>7</v>
      </c>
      <c r="D9">
        <f t="shared" si="4"/>
        <v>13</v>
      </c>
      <c r="E9">
        <f t="shared" si="3"/>
        <v>0.53846153846153844</v>
      </c>
      <c r="F9">
        <f t="shared" si="0"/>
        <v>28.5</v>
      </c>
      <c r="G9">
        <f t="shared" si="1"/>
        <v>43.5</v>
      </c>
      <c r="H9" s="3">
        <f t="shared" si="2"/>
        <v>3.3461538461538463</v>
      </c>
    </row>
    <row r="10" spans="1:9" x14ac:dyDescent="0.45">
      <c r="A10">
        <v>25</v>
      </c>
      <c r="B10">
        <v>5</v>
      </c>
      <c r="C10">
        <v>6</v>
      </c>
      <c r="D10">
        <f t="shared" si="4"/>
        <v>6</v>
      </c>
      <c r="E10">
        <f t="shared" si="3"/>
        <v>1</v>
      </c>
      <c r="F10">
        <f t="shared" si="0"/>
        <v>15</v>
      </c>
      <c r="G10">
        <f t="shared" si="1"/>
        <v>15</v>
      </c>
      <c r="H10" s="3">
        <f t="shared" si="2"/>
        <v>2.5</v>
      </c>
    </row>
    <row r="11" spans="1:9" x14ac:dyDescent="0.45">
      <c r="A11">
        <v>30</v>
      </c>
      <c r="C11">
        <v>0</v>
      </c>
      <c r="D11">
        <v>0</v>
      </c>
    </row>
    <row r="12" spans="1:9" x14ac:dyDescent="0.45">
      <c r="B12" t="s">
        <v>70</v>
      </c>
      <c r="C12" s="1">
        <f>SUM(C2:C11)</f>
        <v>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PrestonTable</vt:lpstr>
      <vt:lpstr>ForStudents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Shivakumar Jolad</cp:lastModifiedBy>
  <dcterms:modified xsi:type="dcterms:W3CDTF">2024-02-18T09:11:11Z</dcterms:modified>
</cp:coreProperties>
</file>