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ography-UG2\PUBP233-IntroDemog_2024\DataSheets\"/>
    </mc:Choice>
  </mc:AlternateContent>
  <xr:revisionPtr revIDLastSave="0" documentId="13_ncr:1_{691D0D4A-E244-4609-9C90-0BE4D183E073}" xr6:coauthVersionLast="47" xr6:coauthVersionMax="47" xr10:uidLastSave="{00000000-0000-0000-0000-000000000000}"/>
  <bookViews>
    <workbookView xWindow="-103" yWindow="-103" windowWidth="22149" windowHeight="13200" xr2:uid="{ED2ACB0F-CFE0-45CE-B7C1-182B11FD28B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1" l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46" i="1"/>
  <c r="J64" i="1"/>
  <c r="I64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H48" i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47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46" i="1"/>
  <c r="F46" i="1" s="1"/>
  <c r="A49" i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25" i="1"/>
  <c r="K11" i="1"/>
  <c r="K12" i="1"/>
  <c r="K13" i="1"/>
  <c r="K14" i="1"/>
  <c r="K15" i="1"/>
  <c r="K16" i="1"/>
  <c r="K17" i="1"/>
  <c r="K18" i="1"/>
  <c r="K19" i="1"/>
  <c r="K20" i="1"/>
  <c r="K21" i="1"/>
  <c r="K10" i="1"/>
  <c r="L10" i="1" s="1"/>
  <c r="M10" i="1" s="1"/>
  <c r="K9" i="1"/>
  <c r="K8" i="1"/>
  <c r="K7" i="1"/>
  <c r="K6" i="1"/>
  <c r="L6" i="1" s="1"/>
  <c r="M6" i="1" s="1"/>
  <c r="K5" i="1"/>
  <c r="K4" i="1"/>
  <c r="L3" i="1"/>
  <c r="J43" i="1"/>
  <c r="J26" i="1"/>
  <c r="L14" i="1" s="1"/>
  <c r="M14" i="1" s="1"/>
  <c r="J27" i="1"/>
  <c r="J28" i="1"/>
  <c r="J29" i="1"/>
  <c r="J30" i="1"/>
  <c r="J31" i="1"/>
  <c r="J32" i="1"/>
  <c r="J33" i="1"/>
  <c r="L20" i="1" s="1"/>
  <c r="M20" i="1" s="1"/>
  <c r="J34" i="1"/>
  <c r="J35" i="1"/>
  <c r="J36" i="1"/>
  <c r="J37" i="1"/>
  <c r="J38" i="1"/>
  <c r="J39" i="1"/>
  <c r="J40" i="1"/>
  <c r="J41" i="1"/>
  <c r="J42" i="1"/>
  <c r="J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H27" i="1"/>
  <c r="H28" i="1"/>
  <c r="H29" i="1"/>
  <c r="H30" i="1"/>
  <c r="H31" i="1"/>
  <c r="H32" i="1"/>
  <c r="H33" i="1"/>
  <c r="H34" i="1"/>
  <c r="H35" i="1" s="1"/>
  <c r="H36" i="1" s="1"/>
  <c r="H37" i="1" s="1"/>
  <c r="H38" i="1" s="1"/>
  <c r="H39" i="1" s="1"/>
  <c r="H40" i="1" s="1"/>
  <c r="H41" i="1" s="1"/>
  <c r="H42" i="1" s="1"/>
  <c r="H43" i="1" s="1"/>
  <c r="H26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25" i="1"/>
  <c r="I25" i="1" s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5" i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M3" i="1"/>
  <c r="L4" i="1"/>
  <c r="M4" i="1" s="1"/>
  <c r="L5" i="1"/>
  <c r="M5" i="1" s="1"/>
  <c r="L7" i="1"/>
  <c r="M7" i="1" s="1"/>
  <c r="L8" i="1"/>
  <c r="M8" i="1" s="1"/>
  <c r="L11" i="1"/>
  <c r="M11" i="1" s="1"/>
  <c r="L12" i="1"/>
  <c r="M12" i="1" s="1"/>
  <c r="L13" i="1"/>
  <c r="M13" i="1" s="1"/>
  <c r="K3" i="1"/>
  <c r="J21" i="1"/>
  <c r="I3" i="1"/>
  <c r="H4" i="1"/>
  <c r="I46" i="1" l="1"/>
  <c r="G46" i="1"/>
  <c r="L21" i="1"/>
  <c r="M21" i="1" s="1"/>
  <c r="L19" i="1"/>
  <c r="M19" i="1" s="1"/>
  <c r="L15" i="1"/>
  <c r="M15" i="1" s="1"/>
  <c r="L17" i="1"/>
  <c r="M17" i="1" s="1"/>
  <c r="L18" i="1"/>
  <c r="M18" i="1" s="1"/>
  <c r="L9" i="1"/>
  <c r="M9" i="1" s="1"/>
  <c r="L16" i="1"/>
  <c r="M16" i="1" s="1"/>
  <c r="G25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H5" i="1"/>
  <c r="H6" i="1"/>
  <c r="H7" i="1"/>
  <c r="H8" i="1"/>
  <c r="H9" i="1"/>
  <c r="H10" i="1"/>
  <c r="H11" i="1"/>
  <c r="H12" i="1"/>
  <c r="H13" i="1" s="1"/>
  <c r="H14" i="1" s="1"/>
  <c r="H15" i="1" s="1"/>
  <c r="H16" i="1" s="1"/>
  <c r="H17" i="1" s="1"/>
  <c r="H18" i="1" s="1"/>
  <c r="H19" i="1" s="1"/>
  <c r="H20" i="1" s="1"/>
  <c r="H21" i="1" s="1"/>
  <c r="F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<sst xmlns="http://schemas.openxmlformats.org/spreadsheetml/2006/main" count="105" uniqueCount="41">
  <si>
    <t>India</t>
  </si>
  <si>
    <t>nMx</t>
  </si>
  <si>
    <t>start age-x</t>
  </si>
  <si>
    <t>interval-n</t>
  </si>
  <si>
    <t>Age Group</t>
  </si>
  <si>
    <t>Both sexes</t>
  </si>
  <si>
    <t>Male</t>
  </si>
  <si>
    <t>Female</t>
  </si>
  <si>
    <t>&lt;1 year</t>
  </si>
  <si>
    <t>1-4 years</t>
  </si>
  <si>
    <t>5-9 years</t>
  </si>
  <si>
    <t>10-14 years</t>
  </si>
  <si>
    <t>15-19 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</si>
  <si>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</si>
  <si>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</si>
  <si>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</si>
  <si>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</si>
  <si>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</si>
  <si>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</si>
  <si>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</si>
  <si>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</si>
  <si>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</si>
  <si>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</si>
  <si>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</si>
  <si>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</si>
  <si>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</si>
  <si>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INF</t>
  </si>
  <si>
    <t>85+ years</t>
  </si>
  <si>
    <t>m(x,n)</t>
  </si>
  <si>
    <t>q(x,n)</t>
  </si>
  <si>
    <t>p(x,n)</t>
  </si>
  <si>
    <t>l(x)</t>
  </si>
  <si>
    <t>d(x,n)</t>
  </si>
  <si>
    <t>L(x,n)</t>
  </si>
  <si>
    <t>T(x)</t>
  </si>
  <si>
    <t>e(x)</t>
  </si>
  <si>
    <t>e(x)+x</t>
  </si>
  <si>
    <t>e(x)-Total</t>
  </si>
  <si>
    <t>e(x)-Male</t>
  </si>
  <si>
    <t>e(x)-female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</si>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</sst>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0" fontId="0" fillId="2" borderId="0" xfId="0" applyFill="1"/>
    <xf numFmtId="1" fontId="1" fillId="2" borderId="0" xfId="0" applyNumberFormat="1" applyFont="1" applyFill="1"/>
    <xf numFmtId="1" fontId="0" fillId="2" borderId="0" xfId="0" applyNumberFormat="1" applyFill="1"/>
    <xf numFmtId="2" fontId="1" fillId="2" borderId="0" xfId="0" applyNumberFormat="1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2A52-B012-4E6A-A1F7-ED804AF1F53D}">
  <dimension ref="A1:Q64"/>
  <sheetViews>
    <sheetView tabSelected="1" zoomScale="109" workbookViewId="0">
      <selection activeCell="H63" sqref="H63"/>
    </sheetView>
  </sheetViews>
  <sheetFormatPr defaultRowHeight="14.6" x14ac:dyDescent="0.4"/>
  <cols>
    <col min="4" max="4" width="11.07421875" customWidth="1"/>
  </cols>
  <sheetData>
    <row r="1" spans="1:16" x14ac:dyDescent="0.4">
      <c r="A1" t="s">
        <v>0</v>
      </c>
      <c r="B1" s="1">
        <v>2019</v>
      </c>
      <c r="D1" s="1" t="s">
        <v>5</v>
      </c>
      <c r="F1" s="1"/>
    </row>
    <row r="2" spans="1:16" x14ac:dyDescent="0.4">
      <c r="A2" t="s">
        <v>2</v>
      </c>
      <c r="B2" t="s">
        <v>3</v>
      </c>
      <c r="C2" t="s">
        <v>4</v>
      </c>
      <c r="D2" s="1" t="s">
        <v>1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</row>
    <row r="3" spans="1:16" x14ac:dyDescent="0.4">
      <c r="A3">
        <v>0</v>
      </c>
      <c r="B3">
        <v>1</v>
      </c>
      <c r="C3" t="s">
        <v>8</v>
      </c>
      <c r="D3">
        <v>2.8345842999999999E-2</v>
      </c>
      <c r="E3">
        <f>D3</f>
        <v>2.8345842999999999E-2</v>
      </c>
      <c r="F3">
        <f>1-EXP(-B3*E3)</f>
        <v>2.7947868762983274E-2</v>
      </c>
      <c r="G3">
        <f>1-F3</f>
        <v>0.97205213123701673</v>
      </c>
      <c r="H3" s="1">
        <v>100000</v>
      </c>
      <c r="I3" s="2">
        <f>H3*F3</f>
        <v>2794.7868762983276</v>
      </c>
      <c r="J3" s="2">
        <f>1/2*(H3+H4)*B3</f>
        <v>98602.606561850844</v>
      </c>
      <c r="K3" s="2">
        <f>SUM(J3:J21)</f>
        <v>7091035.6587907514</v>
      </c>
      <c r="L3" s="5">
        <f>K3/H3</f>
        <v>70.910356587907515</v>
      </c>
      <c r="M3" s="4">
        <f>L3+A3</f>
        <v>70.910356587907515</v>
      </c>
    </row>
    <row r="4" spans="1:16" x14ac:dyDescent="0.4">
      <c r="A4">
        <v>1</v>
      </c>
      <c r="B4">
        <v>4</v>
      </c>
      <c r="C4" t="s">
        <v>9</v>
      </c>
      <c r="D4">
        <v>1.559223E-3</v>
      </c>
      <c r="E4">
        <f t="shared" ref="E4:E21" si="0">D4</f>
        <v>1.559223E-3</v>
      </c>
      <c r="F4">
        <f t="shared" ref="F4:F20" si="1">1-EXP(-B4*E4)</f>
        <v>6.2174829607472004E-3</v>
      </c>
      <c r="G4">
        <f t="shared" ref="G4:G21" si="2">1-F4</f>
        <v>0.9937825170392528</v>
      </c>
      <c r="H4" s="2">
        <f>H3*G3</f>
        <v>97205.213123701673</v>
      </c>
      <c r="I4" s="2">
        <f t="shared" ref="I4:I21" si="3">H4*F4</f>
        <v>604.37175629241528</v>
      </c>
      <c r="J4" s="2">
        <f t="shared" ref="J4:J20" si="4">1/2*(H4+H5)*B4</f>
        <v>387612.10898222186</v>
      </c>
      <c r="K4" s="2">
        <f>SUM(J4:J21)</f>
        <v>6992433.0522289006</v>
      </c>
      <c r="L4" s="5">
        <f t="shared" ref="L4:L21" si="5">K4/H4</f>
        <v>71.934753574692039</v>
      </c>
      <c r="M4" s="4">
        <f t="shared" ref="M4:M21" si="6">L4+A4</f>
        <v>72.934753574692039</v>
      </c>
    </row>
    <row r="5" spans="1:16" x14ac:dyDescent="0.4">
      <c r="A5">
        <v>5</v>
      </c>
      <c r="B5">
        <v>5</v>
      </c>
      <c r="C5" t="s">
        <v>10</v>
      </c>
      <c r="D5">
        <v>5.58316E-4</v>
      </c>
      <c r="E5">
        <f t="shared" si="0"/>
        <v>5.58316E-4</v>
      </c>
      <c r="F5">
        <f t="shared" si="1"/>
        <v>2.7876871637821932E-3</v>
      </c>
      <c r="G5">
        <f t="shared" si="2"/>
        <v>0.99721231283621781</v>
      </c>
      <c r="H5" s="2">
        <f t="shared" ref="H5:H21" si="7">H4*G4</f>
        <v>96600.841367409259</v>
      </c>
      <c r="I5" s="2">
        <f t="shared" si="3"/>
        <v>269.29292549048665</v>
      </c>
      <c r="J5" s="2">
        <f t="shared" si="4"/>
        <v>482330.97452332004</v>
      </c>
      <c r="K5" s="2">
        <f>SUM(J5:J21)</f>
        <v>6604820.9432466784</v>
      </c>
      <c r="L5" s="5">
        <f t="shared" si="5"/>
        <v>68.372292101743355</v>
      </c>
      <c r="M5" s="4">
        <f t="shared" si="6"/>
        <v>73.372292101743355</v>
      </c>
    </row>
    <row r="6" spans="1:16" x14ac:dyDescent="0.4">
      <c r="A6">
        <f>A5+5</f>
        <v>10</v>
      </c>
      <c r="B6">
        <v>5</v>
      </c>
      <c r="C6" t="s">
        <v>11</v>
      </c>
      <c r="D6">
        <v>5.4242799999999996E-4</v>
      </c>
      <c r="E6">
        <f t="shared" si="0"/>
        <v>5.4242799999999996E-4</v>
      </c>
      <c r="F6">
        <f t="shared" si="1"/>
        <v>2.7084654710065603E-3</v>
      </c>
      <c r="G6">
        <f t="shared" si="2"/>
        <v>0.99729153452899344</v>
      </c>
      <c r="H6" s="2">
        <f t="shared" si="7"/>
        <v>96331.548441918771</v>
      </c>
      <c r="I6" s="2">
        <f t="shared" si="3"/>
        <v>260.9106727235328</v>
      </c>
      <c r="J6" s="2">
        <f t="shared" si="4"/>
        <v>481005.46552778501</v>
      </c>
      <c r="K6" s="2">
        <f>SUM(J6:J21)</f>
        <v>6122489.9687233577</v>
      </c>
      <c r="L6" s="5">
        <f t="shared" si="5"/>
        <v>63.556436782647523</v>
      </c>
      <c r="M6" s="4">
        <f t="shared" si="6"/>
        <v>73.556436782647523</v>
      </c>
    </row>
    <row r="7" spans="1:16" x14ac:dyDescent="0.4">
      <c r="A7">
        <f t="shared" ref="A7:A21" si="8">A6+5</f>
        <v>15</v>
      </c>
      <c r="B7">
        <v>5</v>
      </c>
      <c r="C7" t="s">
        <v>12</v>
      </c>
      <c r="D7">
        <v>8.3872700000000005E-4</v>
      </c>
      <c r="E7">
        <f t="shared" si="0"/>
        <v>8.3872700000000005E-4</v>
      </c>
      <c r="F7">
        <f t="shared" si="1"/>
        <v>4.184853991812898E-3</v>
      </c>
      <c r="G7">
        <f t="shared" si="2"/>
        <v>0.9958151460081871</v>
      </c>
      <c r="H7" s="2">
        <f t="shared" si="7"/>
        <v>96070.637769195237</v>
      </c>
      <c r="I7" s="2">
        <f t="shared" si="3"/>
        <v>402.04159196442765</v>
      </c>
      <c r="J7" s="2">
        <f t="shared" si="4"/>
        <v>479348.08486606512</v>
      </c>
      <c r="K7" s="2">
        <f>SUM(J7:J21)</f>
        <v>5641484.5031955726</v>
      </c>
      <c r="L7" s="5">
        <f t="shared" si="5"/>
        <v>58.722255146769704</v>
      </c>
      <c r="M7" s="4">
        <f t="shared" si="6"/>
        <v>73.722255146769697</v>
      </c>
    </row>
    <row r="8" spans="1:16" x14ac:dyDescent="0.4">
      <c r="A8">
        <f t="shared" si="8"/>
        <v>20</v>
      </c>
      <c r="B8">
        <v>5</v>
      </c>
      <c r="C8" t="s">
        <v>13</v>
      </c>
      <c r="D8">
        <v>1.301223E-3</v>
      </c>
      <c r="E8">
        <f t="shared" si="0"/>
        <v>1.301223E-3</v>
      </c>
      <c r="F8">
        <f t="shared" si="1"/>
        <v>6.4849960593768019E-3</v>
      </c>
      <c r="G8">
        <f t="shared" si="2"/>
        <v>0.9935150039406232</v>
      </c>
      <c r="H8" s="2">
        <f t="shared" si="7"/>
        <v>95668.596177230807</v>
      </c>
      <c r="I8" s="2">
        <f t="shared" si="3"/>
        <v>620.41046921545239</v>
      </c>
      <c r="J8" s="2">
        <f t="shared" si="4"/>
        <v>476791.95471311541</v>
      </c>
      <c r="K8" s="2">
        <f>SUM(J8:J21)</f>
        <v>5162136.4183295071</v>
      </c>
      <c r="L8" s="5">
        <f t="shared" si="5"/>
        <v>53.958525833977895</v>
      </c>
      <c r="M8" s="4">
        <f t="shared" si="6"/>
        <v>73.958525833977887</v>
      </c>
    </row>
    <row r="9" spans="1:16" x14ac:dyDescent="0.4">
      <c r="A9">
        <f t="shared" si="8"/>
        <v>25</v>
      </c>
      <c r="B9">
        <v>5</v>
      </c>
      <c r="C9" t="s">
        <v>14</v>
      </c>
      <c r="D9">
        <v>1.498421E-3</v>
      </c>
      <c r="E9">
        <f t="shared" si="0"/>
        <v>1.498421E-3</v>
      </c>
      <c r="F9">
        <f t="shared" si="1"/>
        <v>7.4641091409360927E-3</v>
      </c>
      <c r="G9">
        <f t="shared" si="2"/>
        <v>0.99253589085906391</v>
      </c>
      <c r="H9" s="2">
        <f t="shared" si="7"/>
        <v>95048.185708015357</v>
      </c>
      <c r="I9" s="2">
        <f t="shared" si="3"/>
        <v>709.45003177258866</v>
      </c>
      <c r="J9" s="2">
        <f t="shared" si="4"/>
        <v>473467.30346064537</v>
      </c>
      <c r="K9" s="2">
        <f>SUM(J9:J21)</f>
        <v>4685344.4636163916</v>
      </c>
      <c r="L9" s="5">
        <f t="shared" si="5"/>
        <v>49.294412394252355</v>
      </c>
      <c r="M9" s="4">
        <f t="shared" si="6"/>
        <v>74.294412394252362</v>
      </c>
      <c r="P9" s="1"/>
    </row>
    <row r="10" spans="1:16" x14ac:dyDescent="0.4">
      <c r="A10">
        <f t="shared" si="8"/>
        <v>30</v>
      </c>
      <c r="B10">
        <v>5</v>
      </c>
      <c r="C10" t="s">
        <v>15</v>
      </c>
      <c r="D10">
        <v>1.90733E-3</v>
      </c>
      <c r="E10">
        <f t="shared" si="0"/>
        <v>1.90733E-3</v>
      </c>
      <c r="F10">
        <f t="shared" si="1"/>
        <v>9.491320365453082E-3</v>
      </c>
      <c r="G10">
        <f t="shared" si="2"/>
        <v>0.99050867963454692</v>
      </c>
      <c r="H10" s="2">
        <f t="shared" si="7"/>
        <v>94338.735676242766</v>
      </c>
      <c r="I10" s="2">
        <f t="shared" si="3"/>
        <v>895.3991631750182</v>
      </c>
      <c r="J10" s="2">
        <f t="shared" si="4"/>
        <v>469455.1804732763</v>
      </c>
      <c r="K10" s="2">
        <f>SUM(J10:$J$21)</f>
        <v>4211877.1601557462</v>
      </c>
      <c r="L10" s="5">
        <f t="shared" si="5"/>
        <v>44.646317654821182</v>
      </c>
      <c r="M10" s="4">
        <f t="shared" si="6"/>
        <v>74.646317654821189</v>
      </c>
    </row>
    <row r="11" spans="1:16" x14ac:dyDescent="0.4">
      <c r="A11">
        <f t="shared" si="8"/>
        <v>35</v>
      </c>
      <c r="B11">
        <v>5</v>
      </c>
      <c r="C11" t="s">
        <v>16</v>
      </c>
      <c r="D11">
        <v>2.5478020000000001E-3</v>
      </c>
      <c r="E11">
        <f t="shared" si="0"/>
        <v>2.5478020000000001E-3</v>
      </c>
      <c r="F11">
        <f t="shared" si="1"/>
        <v>1.265821227038566E-2</v>
      </c>
      <c r="G11">
        <f t="shared" si="2"/>
        <v>0.98734178772961434</v>
      </c>
      <c r="H11" s="2">
        <f t="shared" si="7"/>
        <v>93443.336513067741</v>
      </c>
      <c r="I11" s="2">
        <f t="shared" si="3"/>
        <v>1182.8255888354904</v>
      </c>
      <c r="J11" s="2">
        <f t="shared" si="4"/>
        <v>464259.61859324999</v>
      </c>
      <c r="K11" s="2">
        <f>SUM(J11:$J$21)</f>
        <v>3742421.9796824697</v>
      </c>
      <c r="L11" s="5">
        <f t="shared" si="5"/>
        <v>40.050174997326906</v>
      </c>
      <c r="M11" s="4">
        <f t="shared" si="6"/>
        <v>75.050174997326906</v>
      </c>
    </row>
    <row r="12" spans="1:16" x14ac:dyDescent="0.4">
      <c r="A12">
        <f t="shared" si="8"/>
        <v>40</v>
      </c>
      <c r="B12">
        <v>5</v>
      </c>
      <c r="C12" t="s">
        <v>17</v>
      </c>
      <c r="D12">
        <v>3.3589570000000001E-3</v>
      </c>
      <c r="E12">
        <f t="shared" si="0"/>
        <v>3.3589570000000001E-3</v>
      </c>
      <c r="F12">
        <f t="shared" si="1"/>
        <v>1.6654538830770393E-2</v>
      </c>
      <c r="G12">
        <f t="shared" si="2"/>
        <v>0.98334546116922961</v>
      </c>
      <c r="H12" s="2">
        <f t="shared" si="7"/>
        <v>92260.510924232251</v>
      </c>
      <c r="I12" s="2">
        <f t="shared" si="3"/>
        <v>1536.5562617343421</v>
      </c>
      <c r="J12" s="2">
        <f t="shared" si="4"/>
        <v>457461.16396682541</v>
      </c>
      <c r="K12" s="2">
        <f>SUM(J12:$J$21)</f>
        <v>3278162.3610892193</v>
      </c>
      <c r="L12" s="5">
        <f t="shared" si="5"/>
        <v>35.531586897251934</v>
      </c>
      <c r="M12" s="4">
        <f t="shared" si="6"/>
        <v>75.531586897251941</v>
      </c>
    </row>
    <row r="13" spans="1:16" x14ac:dyDescent="0.4">
      <c r="A13">
        <f t="shared" si="8"/>
        <v>45</v>
      </c>
      <c r="B13">
        <v>5</v>
      </c>
      <c r="C13" t="s">
        <v>18</v>
      </c>
      <c r="D13">
        <v>4.7905020000000003E-3</v>
      </c>
      <c r="E13">
        <f t="shared" si="0"/>
        <v>4.7905020000000003E-3</v>
      </c>
      <c r="F13">
        <f t="shared" si="1"/>
        <v>2.3667925332808259E-2</v>
      </c>
      <c r="G13">
        <f t="shared" si="2"/>
        <v>0.97633207466719174</v>
      </c>
      <c r="H13" s="2">
        <f t="shared" si="7"/>
        <v>90723.954662497912</v>
      </c>
      <c r="I13" s="2">
        <f t="shared" si="3"/>
        <v>2147.2477848490826</v>
      </c>
      <c r="J13" s="2">
        <f t="shared" si="4"/>
        <v>448251.65385036683</v>
      </c>
      <c r="K13" s="2">
        <f>SUM(J13:$J$21)</f>
        <v>2820701.1971223941</v>
      </c>
      <c r="L13" s="5">
        <f t="shared" si="5"/>
        <v>31.091030010934617</v>
      </c>
      <c r="M13" s="4">
        <f t="shared" si="6"/>
        <v>76.091030010934617</v>
      </c>
    </row>
    <row r="14" spans="1:16" x14ac:dyDescent="0.4">
      <c r="A14">
        <f t="shared" si="8"/>
        <v>50</v>
      </c>
      <c r="B14">
        <v>5</v>
      </c>
      <c r="C14" t="s">
        <v>19</v>
      </c>
      <c r="D14">
        <v>7.797099E-3</v>
      </c>
      <c r="E14">
        <f t="shared" si="0"/>
        <v>7.797099E-3</v>
      </c>
      <c r="F14">
        <f t="shared" si="1"/>
        <v>3.8235340558422815E-2</v>
      </c>
      <c r="G14">
        <f t="shared" si="2"/>
        <v>0.96176465944157719</v>
      </c>
      <c r="H14" s="2">
        <f t="shared" si="7"/>
        <v>88576.70687764883</v>
      </c>
      <c r="I14" s="2">
        <f t="shared" si="3"/>
        <v>3386.7605530104952</v>
      </c>
      <c r="J14" s="2">
        <f t="shared" si="4"/>
        <v>434416.63300571789</v>
      </c>
      <c r="K14" s="2">
        <f>SUM(J14:$J$21)</f>
        <v>2372449.5432720273</v>
      </c>
      <c r="L14" s="5">
        <f t="shared" si="5"/>
        <v>26.784124482626073</v>
      </c>
      <c r="M14" s="4">
        <f t="shared" si="6"/>
        <v>76.784124482626069</v>
      </c>
    </row>
    <row r="15" spans="1:16" x14ac:dyDescent="0.4">
      <c r="A15">
        <f t="shared" si="8"/>
        <v>55</v>
      </c>
      <c r="B15">
        <v>5</v>
      </c>
      <c r="C15" t="s">
        <v>20</v>
      </c>
      <c r="D15">
        <v>1.1786385E-2</v>
      </c>
      <c r="E15">
        <f t="shared" si="0"/>
        <v>1.1786385E-2</v>
      </c>
      <c r="F15">
        <f t="shared" si="1"/>
        <v>5.7229053895191839E-2</v>
      </c>
      <c r="G15">
        <f t="shared" si="2"/>
        <v>0.94277094610480816</v>
      </c>
      <c r="H15" s="2">
        <f t="shared" si="7"/>
        <v>85189.946324638338</v>
      </c>
      <c r="I15" s="2">
        <f t="shared" si="3"/>
        <v>4875.3400295412275</v>
      </c>
      <c r="J15" s="2">
        <f t="shared" si="4"/>
        <v>413761.38154933864</v>
      </c>
      <c r="K15" s="2">
        <f>SUM(J15:$J$21)</f>
        <v>1938032.9102663095</v>
      </c>
      <c r="L15" s="5">
        <f t="shared" si="5"/>
        <v>22.74954961094744</v>
      </c>
      <c r="M15" s="4">
        <f t="shared" si="6"/>
        <v>77.74954961094744</v>
      </c>
    </row>
    <row r="16" spans="1:16" x14ac:dyDescent="0.4">
      <c r="A16">
        <f t="shared" si="8"/>
        <v>60</v>
      </c>
      <c r="B16">
        <v>5</v>
      </c>
      <c r="C16" t="s">
        <v>21</v>
      </c>
      <c r="D16">
        <v>1.7562732000000001E-2</v>
      </c>
      <c r="E16">
        <f t="shared" si="0"/>
        <v>1.7562732000000001E-2</v>
      </c>
      <c r="F16">
        <f t="shared" si="1"/>
        <v>8.4068464495120843E-2</v>
      </c>
      <c r="G16">
        <f t="shared" si="2"/>
        <v>0.91593153550487916</v>
      </c>
      <c r="H16" s="2">
        <f t="shared" si="7"/>
        <v>80314.60629509711</v>
      </c>
      <c r="I16" s="2">
        <f t="shared" si="3"/>
        <v>6751.9256277589802</v>
      </c>
      <c r="J16" s="2">
        <f t="shared" si="4"/>
        <v>384693.21740608808</v>
      </c>
      <c r="K16" s="2">
        <f>SUM(J16:$J$21)</f>
        <v>1524271.5287169707</v>
      </c>
      <c r="L16" s="5">
        <f t="shared" si="5"/>
        <v>18.978758647168036</v>
      </c>
      <c r="M16" s="4">
        <f t="shared" si="6"/>
        <v>78.978758647168036</v>
      </c>
    </row>
    <row r="17" spans="1:17" s="6" customFormat="1" x14ac:dyDescent="0.4">
      <c r="A17" s="6">
        <f t="shared" si="8"/>
        <v>65</v>
      </c>
      <c r="B17" s="6">
        <v>5</v>
      </c>
      <c r="C17" s="6" t="s">
        <v>22</v>
      </c>
      <c r="D17" s="6">
        <v>2.6607314999999999E-2</v>
      </c>
      <c r="E17" s="6">
        <f t="shared" si="0"/>
        <v>2.6607314999999999E-2</v>
      </c>
      <c r="F17" s="6">
        <f t="shared" si="1"/>
        <v>0.12456692744141162</v>
      </c>
      <c r="G17" s="6">
        <f t="shared" si="2"/>
        <v>0.87543307255858838</v>
      </c>
      <c r="H17" s="7">
        <f t="shared" si="7"/>
        <v>73562.680667338136</v>
      </c>
      <c r="I17" s="8">
        <f t="shared" si="3"/>
        <v>9163.4771050840427</v>
      </c>
      <c r="J17" s="8">
        <f t="shared" si="4"/>
        <v>344904.71057398058</v>
      </c>
      <c r="K17" s="2">
        <f>SUM(J17:$J$21)</f>
        <v>1139578.3113108827</v>
      </c>
      <c r="L17" s="9">
        <f t="shared" si="5"/>
        <v>15.491255905480562</v>
      </c>
      <c r="M17" s="10">
        <f t="shared" si="6"/>
        <v>80.491255905480557</v>
      </c>
    </row>
    <row r="18" spans="1:17" x14ac:dyDescent="0.4">
      <c r="A18">
        <f t="shared" si="8"/>
        <v>70</v>
      </c>
      <c r="B18">
        <v>5</v>
      </c>
      <c r="C18" t="s">
        <v>23</v>
      </c>
      <c r="D18">
        <v>4.1230302000000003E-2</v>
      </c>
      <c r="E18">
        <f t="shared" si="0"/>
        <v>4.1230302000000003E-2</v>
      </c>
      <c r="F18">
        <f t="shared" si="1"/>
        <v>0.18629021822605552</v>
      </c>
      <c r="G18">
        <f t="shared" si="2"/>
        <v>0.81370978177394448</v>
      </c>
      <c r="H18" s="2">
        <f t="shared" si="7"/>
        <v>64399.203562254093</v>
      </c>
      <c r="I18" s="2">
        <f t="shared" si="3"/>
        <v>11996.941685196487</v>
      </c>
      <c r="J18" s="2">
        <f t="shared" si="4"/>
        <v>292003.66359827924</v>
      </c>
      <c r="K18" s="2">
        <f>SUM(J18:$J$21)</f>
        <v>794673.6007369021</v>
      </c>
      <c r="L18" s="5">
        <f t="shared" si="5"/>
        <v>12.339804792285959</v>
      </c>
      <c r="M18" s="4">
        <f t="shared" si="6"/>
        <v>82.33980479228596</v>
      </c>
    </row>
    <row r="19" spans="1:17" x14ac:dyDescent="0.4">
      <c r="A19">
        <f t="shared" si="8"/>
        <v>75</v>
      </c>
      <c r="B19">
        <v>5</v>
      </c>
      <c r="C19" t="s">
        <v>24</v>
      </c>
      <c r="D19">
        <v>6.2868255999999997E-2</v>
      </c>
      <c r="E19">
        <f t="shared" si="0"/>
        <v>6.2868255999999997E-2</v>
      </c>
      <c r="F19">
        <f t="shared" si="1"/>
        <v>0.2697302408368244</v>
      </c>
      <c r="G19">
        <f t="shared" si="2"/>
        <v>0.7302697591631756</v>
      </c>
      <c r="H19" s="2">
        <f t="shared" si="7"/>
        <v>52402.261877057608</v>
      </c>
      <c r="I19" s="2">
        <f t="shared" si="3"/>
        <v>14134.47471649309</v>
      </c>
      <c r="J19" s="2">
        <f t="shared" si="4"/>
        <v>226675.12259405531</v>
      </c>
      <c r="K19" s="2">
        <f>SUM(J19:$J$21)</f>
        <v>502669.93713862286</v>
      </c>
      <c r="L19" s="5">
        <f t="shared" si="5"/>
        <v>9.5925236646836094</v>
      </c>
      <c r="M19" s="4">
        <f t="shared" si="6"/>
        <v>84.592523664683611</v>
      </c>
    </row>
    <row r="20" spans="1:17" x14ac:dyDescent="0.4">
      <c r="A20">
        <f t="shared" si="8"/>
        <v>80</v>
      </c>
      <c r="B20">
        <v>5</v>
      </c>
      <c r="C20" t="s">
        <v>25</v>
      </c>
      <c r="D20">
        <v>0.10828625</v>
      </c>
      <c r="E20">
        <f t="shared" si="0"/>
        <v>0.10828625</v>
      </c>
      <c r="F20" s="1">
        <f t="shared" si="1"/>
        <v>0.41808520947380856</v>
      </c>
      <c r="G20">
        <f t="shared" si="2"/>
        <v>0.58191479052619144</v>
      </c>
      <c r="H20" s="2">
        <f t="shared" si="7"/>
        <v>38267.78716056452</v>
      </c>
      <c r="I20" s="2">
        <f t="shared" si="3"/>
        <v>15999.195811123738</v>
      </c>
      <c r="J20" s="2">
        <f t="shared" si="4"/>
        <v>151340.94627501324</v>
      </c>
      <c r="K20" s="2">
        <f>SUM(J20:$J$21)</f>
        <v>275994.81454456761</v>
      </c>
      <c r="L20" s="5">
        <f t="shared" si="5"/>
        <v>7.2121968638151115</v>
      </c>
      <c r="M20" s="4">
        <f t="shared" si="6"/>
        <v>87.212196863815109</v>
      </c>
    </row>
    <row r="21" spans="1:17" x14ac:dyDescent="0.4">
      <c r="A21">
        <f t="shared" si="8"/>
        <v>85</v>
      </c>
      <c r="B21" t="s">
        <v>26</v>
      </c>
      <c r="C21" t="s">
        <v>27</v>
      </c>
      <c r="D21">
        <v>0.17864340400000001</v>
      </c>
      <c r="E21">
        <f t="shared" si="0"/>
        <v>0.17864340400000001</v>
      </c>
      <c r="F21">
        <v>1</v>
      </c>
      <c r="G21">
        <f t="shared" si="2"/>
        <v>0</v>
      </c>
      <c r="H21" s="2">
        <f t="shared" si="7"/>
        <v>22268.59134944078</v>
      </c>
      <c r="I21" s="2">
        <f t="shared" si="3"/>
        <v>22268.59134944078</v>
      </c>
      <c r="J21" s="3">
        <f>I21/E21</f>
        <v>124653.86826955435</v>
      </c>
      <c r="K21" s="2">
        <f>SUM(J21:$J$21)</f>
        <v>124653.86826955435</v>
      </c>
      <c r="L21" s="5">
        <f t="shared" si="5"/>
        <v>5.5977437599655229</v>
      </c>
      <c r="M21" s="4">
        <f t="shared" si="6"/>
        <v>90.597743759965525</v>
      </c>
    </row>
    <row r="23" spans="1:17" x14ac:dyDescent="0.4">
      <c r="D23" t="s">
        <v>6</v>
      </c>
    </row>
    <row r="24" spans="1:17" x14ac:dyDescent="0.4">
      <c r="A24" t="s">
        <v>2</v>
      </c>
      <c r="B24" t="s">
        <v>3</v>
      </c>
      <c r="C24" t="s">
        <v>4</v>
      </c>
      <c r="D24" s="1" t="s">
        <v>1</v>
      </c>
      <c r="E24" s="1" t="s">
        <v>28</v>
      </c>
      <c r="F24" s="1" t="s">
        <v>29</v>
      </c>
      <c r="G24" s="1" t="s">
        <v>30</v>
      </c>
      <c r="H24" s="1" t="s">
        <v>31</v>
      </c>
      <c r="I24" s="1" t="s">
        <v>32</v>
      </c>
      <c r="J24" s="1" t="s">
        <v>33</v>
      </c>
      <c r="K24" s="1" t="s">
        <v>34</v>
      </c>
      <c r="L24" s="1" t="s">
        <v>35</v>
      </c>
    </row>
    <row r="25" spans="1:17" x14ac:dyDescent="0.4">
      <c r="A25">
        <v>0</v>
      </c>
      <c r="B25">
        <v>1</v>
      </c>
      <c r="C25" t="s">
        <v>8</v>
      </c>
      <c r="D25">
        <v>2.8394243999999999E-2</v>
      </c>
      <c r="E25">
        <f>D25</f>
        <v>2.8394243999999999E-2</v>
      </c>
      <c r="F25">
        <f>1-EXP(-B25*E25)</f>
        <v>2.7994915919613339E-2</v>
      </c>
      <c r="G25">
        <f>1-F25</f>
        <v>0.97200508408038666</v>
      </c>
      <c r="H25" s="1">
        <v>100000</v>
      </c>
      <c r="I25" s="2">
        <f>H25*F25</f>
        <v>2799.4915919613341</v>
      </c>
      <c r="J25" s="2">
        <f>0.5*(H25+H26)*B25</f>
        <v>98600.254204019337</v>
      </c>
      <c r="K25" s="2">
        <f>SUM(J25:$J$43)</f>
        <v>6962221.5067415154</v>
      </c>
      <c r="L25" s="5">
        <f>K25/H25</f>
        <v>69.622215067415155</v>
      </c>
      <c r="N25" t="s">
        <v>40</v>
      </c>
      <c r="O25" t="s">
        <v>37</v>
      </c>
      <c r="P25" t="s">
        <v>38</v>
      </c>
      <c r="Q25" t="s">
        <v>39</v>
      </c>
    </row>
    <row r="26" spans="1:17" x14ac:dyDescent="0.4">
      <c r="A26">
        <v>1</v>
      </c>
      <c r="B26">
        <v>4</v>
      </c>
      <c r="C26" t="s">
        <v>9</v>
      </c>
      <c r="D26">
        <v>1.3958969999999999E-3</v>
      </c>
      <c r="E26">
        <f t="shared" ref="E26:E43" si="9">D26</f>
        <v>1.3958969999999999E-3</v>
      </c>
      <c r="F26">
        <f t="shared" ref="F26:F43" si="10">1-EXP(-B26*E26)</f>
        <v>5.5680287448161003E-3</v>
      </c>
      <c r="G26">
        <f t="shared" ref="G26:G43" si="11">1-F26</f>
        <v>0.9944319712551839</v>
      </c>
      <c r="H26" s="2">
        <f>H25*G25</f>
        <v>97200.508408038673</v>
      </c>
      <c r="I26" s="2">
        <f t="shared" ref="I26:I43" si="12">H26*F26</f>
        <v>541.21522482669843</v>
      </c>
      <c r="J26" s="2">
        <f t="shared" ref="J26:J43" si="13">0.5*(H26+H27)*B26</f>
        <v>387719.60318250128</v>
      </c>
      <c r="K26" s="2">
        <f>SUM(J26:$J$43)</f>
        <v>6863621.2525374955</v>
      </c>
      <c r="L26" s="5">
        <f t="shared" ref="L26:L43" si="14">K26/H26</f>
        <v>70.613018027896047</v>
      </c>
      <c r="N26">
        <v>0</v>
      </c>
      <c r="O26" s="4">
        <v>70.910356587907515</v>
      </c>
      <c r="P26" s="4">
        <v>69.622215067415155</v>
      </c>
      <c r="Q26" s="4">
        <v>72.310429371844265</v>
      </c>
    </row>
    <row r="27" spans="1:17" x14ac:dyDescent="0.4">
      <c r="A27">
        <v>5</v>
      </c>
      <c r="B27">
        <v>5</v>
      </c>
      <c r="C27" t="s">
        <v>10</v>
      </c>
      <c r="D27">
        <v>4.9988699999999997E-4</v>
      </c>
      <c r="E27">
        <f t="shared" si="9"/>
        <v>4.9988699999999997E-4</v>
      </c>
      <c r="F27">
        <f t="shared" si="10"/>
        <v>2.4963140131164518E-3</v>
      </c>
      <c r="G27">
        <f t="shared" si="11"/>
        <v>0.99750368598688355</v>
      </c>
      <c r="H27" s="2">
        <f t="shared" ref="H27:H43" si="15">H26*G26</f>
        <v>96659.293183211979</v>
      </c>
      <c r="I27" s="2">
        <f t="shared" si="12"/>
        <v>241.29194807118358</v>
      </c>
      <c r="J27" s="2">
        <f t="shared" si="13"/>
        <v>482693.23604588193</v>
      </c>
      <c r="K27" s="2">
        <f>SUM(J27:$J$43)</f>
        <v>6475901.6493549934</v>
      </c>
      <c r="L27" s="5">
        <f t="shared" si="14"/>
        <v>66.997196400767223</v>
      </c>
      <c r="N27">
        <v>1</v>
      </c>
      <c r="O27" s="4">
        <v>71.934753574692039</v>
      </c>
      <c r="P27" s="4">
        <v>70.613018027896047</v>
      </c>
      <c r="Q27" s="4">
        <v>73.371149044981223</v>
      </c>
    </row>
    <row r="28" spans="1:17" x14ac:dyDescent="0.4">
      <c r="A28">
        <f>A27+5</f>
        <v>10</v>
      </c>
      <c r="B28">
        <v>5</v>
      </c>
      <c r="C28" t="s">
        <v>11</v>
      </c>
      <c r="D28">
        <v>5.3676699999999995E-4</v>
      </c>
      <c r="E28">
        <f t="shared" si="9"/>
        <v>5.3676699999999995E-4</v>
      </c>
      <c r="F28">
        <f t="shared" si="10"/>
        <v>2.6802367346163702E-3</v>
      </c>
      <c r="G28">
        <f t="shared" si="11"/>
        <v>0.99731976326538363</v>
      </c>
      <c r="H28" s="2">
        <f t="shared" si="15"/>
        <v>96418.001235140793</v>
      </c>
      <c r="I28" s="2">
        <f t="shared" si="12"/>
        <v>258.42306878871091</v>
      </c>
      <c r="J28" s="2">
        <f t="shared" si="13"/>
        <v>481443.94850373216</v>
      </c>
      <c r="K28" s="2">
        <f>SUM(J28:$J$43)</f>
        <v>5993208.4133091122</v>
      </c>
      <c r="L28" s="5">
        <f t="shared" si="14"/>
        <v>62.158604581452465</v>
      </c>
      <c r="N28">
        <v>5</v>
      </c>
      <c r="O28" s="4">
        <v>68.372292101743355</v>
      </c>
      <c r="P28" s="4">
        <v>66.997196400767223</v>
      </c>
      <c r="Q28" s="4">
        <v>69.869339173094318</v>
      </c>
    </row>
    <row r="29" spans="1:17" x14ac:dyDescent="0.4">
      <c r="A29">
        <f t="shared" ref="A29:A43" si="16">A28+5</f>
        <v>15</v>
      </c>
      <c r="B29">
        <v>5</v>
      </c>
      <c r="C29" t="s">
        <v>12</v>
      </c>
      <c r="D29">
        <v>7.9171899999999997E-4</v>
      </c>
      <c r="E29">
        <f t="shared" si="9"/>
        <v>7.9171899999999997E-4</v>
      </c>
      <c r="F29">
        <f t="shared" si="10"/>
        <v>3.9507700914328536E-3</v>
      </c>
      <c r="G29">
        <f t="shared" si="11"/>
        <v>0.99604922990856715</v>
      </c>
      <c r="H29" s="2">
        <f t="shared" si="15"/>
        <v>96159.578166352076</v>
      </c>
      <c r="I29" s="2">
        <f t="shared" si="12"/>
        <v>379.90438542442342</v>
      </c>
      <c r="J29" s="2">
        <f t="shared" si="13"/>
        <v>479848.12986819935</v>
      </c>
      <c r="K29" s="2">
        <f>SUM(J29:$J$43)</f>
        <v>5511764.4648053804</v>
      </c>
      <c r="L29" s="5">
        <f t="shared" si="14"/>
        <v>57.318933484402947</v>
      </c>
      <c r="N29">
        <f>N28+5</f>
        <v>10</v>
      </c>
      <c r="O29" s="4">
        <v>63.556436782647523</v>
      </c>
      <c r="P29" s="4">
        <v>62.158604581452465</v>
      </c>
      <c r="Q29" s="4">
        <v>65.079440420915432</v>
      </c>
    </row>
    <row r="30" spans="1:17" x14ac:dyDescent="0.4">
      <c r="A30">
        <f t="shared" si="16"/>
        <v>20</v>
      </c>
      <c r="B30">
        <v>5</v>
      </c>
      <c r="C30" t="s">
        <v>13</v>
      </c>
      <c r="D30">
        <v>1.366967E-3</v>
      </c>
      <c r="E30">
        <f t="shared" si="9"/>
        <v>1.366967E-3</v>
      </c>
      <c r="F30">
        <f t="shared" si="10"/>
        <v>6.8115306393082831E-3</v>
      </c>
      <c r="G30">
        <f t="shared" si="11"/>
        <v>0.99318846936069172</v>
      </c>
      <c r="H30" s="2">
        <f t="shared" si="15"/>
        <v>95779.673780927653</v>
      </c>
      <c r="I30" s="2">
        <f t="shared" si="12"/>
        <v>652.40618258174095</v>
      </c>
      <c r="J30" s="2">
        <f t="shared" si="13"/>
        <v>477267.35344818386</v>
      </c>
      <c r="K30" s="2">
        <f>SUM(J30:$J$43)</f>
        <v>5031916.3349371804</v>
      </c>
      <c r="L30" s="5">
        <f t="shared" si="14"/>
        <v>52.536369527071543</v>
      </c>
      <c r="N30">
        <f t="shared" ref="N30:N44" si="17">N29+5</f>
        <v>15</v>
      </c>
      <c r="O30" s="4">
        <v>58.722255146769704</v>
      </c>
      <c r="P30" s="4">
        <v>57.318933484402947</v>
      </c>
      <c r="Q30" s="4">
        <v>60.251366921295329</v>
      </c>
    </row>
    <row r="31" spans="1:17" x14ac:dyDescent="0.4">
      <c r="A31">
        <f t="shared" si="16"/>
        <v>25</v>
      </c>
      <c r="B31">
        <v>5</v>
      </c>
      <c r="C31" t="s">
        <v>14</v>
      </c>
      <c r="D31">
        <v>1.682876E-3</v>
      </c>
      <c r="E31">
        <f t="shared" si="9"/>
        <v>1.682876E-3</v>
      </c>
      <c r="F31">
        <f t="shared" si="10"/>
        <v>8.3790781882836507E-3</v>
      </c>
      <c r="G31">
        <f t="shared" si="11"/>
        <v>0.99162092181171635</v>
      </c>
      <c r="H31" s="2">
        <f t="shared" si="15"/>
        <v>95127.267598345905</v>
      </c>
      <c r="I31" s="2">
        <f t="shared" si="12"/>
        <v>797.07881304432226</v>
      </c>
      <c r="J31" s="2">
        <f t="shared" si="13"/>
        <v>473643.64095911873</v>
      </c>
      <c r="K31" s="2">
        <f>SUM(J31:$J$43)</f>
        <v>4554648.981488998</v>
      </c>
      <c r="L31" s="5">
        <f t="shared" si="14"/>
        <v>47.879531247759665</v>
      </c>
      <c r="N31">
        <f t="shared" si="17"/>
        <v>20</v>
      </c>
      <c r="O31" s="4">
        <v>53.958525833977895</v>
      </c>
      <c r="P31" s="4">
        <v>52.536369527071543</v>
      </c>
      <c r="Q31" s="4">
        <v>55.509392016423256</v>
      </c>
    </row>
    <row r="32" spans="1:17" x14ac:dyDescent="0.4">
      <c r="A32">
        <f t="shared" si="16"/>
        <v>30</v>
      </c>
      <c r="B32">
        <v>5</v>
      </c>
      <c r="C32" t="s">
        <v>15</v>
      </c>
      <c r="D32">
        <v>2.3089500000000002E-3</v>
      </c>
      <c r="E32">
        <f t="shared" si="9"/>
        <v>2.3089500000000002E-3</v>
      </c>
      <c r="F32">
        <f t="shared" si="10"/>
        <v>1.14783650850524E-2</v>
      </c>
      <c r="G32">
        <f t="shared" si="11"/>
        <v>0.9885216349149476</v>
      </c>
      <c r="H32" s="2">
        <f t="shared" si="15"/>
        <v>94330.18878530158</v>
      </c>
      <c r="I32" s="2">
        <f t="shared" si="12"/>
        <v>1082.7563454196072</v>
      </c>
      <c r="J32" s="2">
        <f t="shared" si="13"/>
        <v>468944.05306295888</v>
      </c>
      <c r="K32" s="2">
        <f>SUM(J32:$J$43)</f>
        <v>4081005.3405298791</v>
      </c>
      <c r="L32" s="5">
        <f t="shared" si="14"/>
        <v>43.262982859266543</v>
      </c>
      <c r="N32">
        <f t="shared" si="17"/>
        <v>25</v>
      </c>
      <c r="O32" s="4">
        <v>49.294412394252355</v>
      </c>
      <c r="P32" s="4">
        <v>47.879531247759665</v>
      </c>
      <c r="Q32" s="4">
        <v>50.835675739117299</v>
      </c>
    </row>
    <row r="33" spans="1:17" x14ac:dyDescent="0.4">
      <c r="A33">
        <f t="shared" si="16"/>
        <v>35</v>
      </c>
      <c r="B33">
        <v>5</v>
      </c>
      <c r="C33" t="s">
        <v>16</v>
      </c>
      <c r="D33">
        <v>3.1896009999999998E-3</v>
      </c>
      <c r="E33">
        <f t="shared" si="9"/>
        <v>3.1896009999999998E-3</v>
      </c>
      <c r="F33">
        <f t="shared" si="10"/>
        <v>1.5821508914401261E-2</v>
      </c>
      <c r="G33">
        <f t="shared" si="11"/>
        <v>0.98417849108559874</v>
      </c>
      <c r="H33" s="2">
        <f t="shared" si="15"/>
        <v>93247.432439881974</v>
      </c>
      <c r="I33" s="2">
        <f t="shared" si="12"/>
        <v>1475.3150835926219</v>
      </c>
      <c r="J33" s="2">
        <f t="shared" si="13"/>
        <v>462548.87449042825</v>
      </c>
      <c r="K33" s="2">
        <f>SUM(J33:$J$43)</f>
        <v>3612061.2874669195</v>
      </c>
      <c r="L33" s="5">
        <f t="shared" si="14"/>
        <v>38.736308260237301</v>
      </c>
      <c r="N33">
        <f t="shared" si="17"/>
        <v>30</v>
      </c>
      <c r="O33" s="4">
        <v>44.646317654821182</v>
      </c>
      <c r="P33" s="4">
        <v>43.262982859266543</v>
      </c>
      <c r="Q33" s="4">
        <v>46.148962915363754</v>
      </c>
    </row>
    <row r="34" spans="1:17" x14ac:dyDescent="0.4">
      <c r="A34">
        <f t="shared" si="16"/>
        <v>40</v>
      </c>
      <c r="B34">
        <v>5</v>
      </c>
      <c r="C34" t="s">
        <v>17</v>
      </c>
      <c r="D34">
        <v>4.0587970000000003E-3</v>
      </c>
      <c r="E34">
        <f t="shared" si="9"/>
        <v>4.0587970000000003E-3</v>
      </c>
      <c r="F34">
        <f t="shared" si="10"/>
        <v>2.008944804646362E-2</v>
      </c>
      <c r="G34">
        <f t="shared" si="11"/>
        <v>0.97991055195353638</v>
      </c>
      <c r="H34" s="2">
        <f t="shared" si="15"/>
        <v>91772.117356289353</v>
      </c>
      <c r="I34" s="2">
        <f t="shared" si="12"/>
        <v>1843.6511837431372</v>
      </c>
      <c r="J34" s="2">
        <f t="shared" si="13"/>
        <v>454251.4588220889</v>
      </c>
      <c r="K34" s="2">
        <f>SUM(J34:$J$43)</f>
        <v>3149512.4129764917</v>
      </c>
      <c r="L34" s="5">
        <f t="shared" si="14"/>
        <v>34.318837831201556</v>
      </c>
      <c r="N34">
        <f t="shared" si="17"/>
        <v>35</v>
      </c>
      <c r="O34" s="4">
        <v>40.050174997326906</v>
      </c>
      <c r="P34" s="4">
        <v>38.736308260237301</v>
      </c>
      <c r="Q34" s="4">
        <v>41.469745621642026</v>
      </c>
    </row>
    <row r="35" spans="1:17" x14ac:dyDescent="0.4">
      <c r="A35">
        <f t="shared" si="16"/>
        <v>45</v>
      </c>
      <c r="B35">
        <v>5</v>
      </c>
      <c r="C35" t="s">
        <v>18</v>
      </c>
      <c r="D35">
        <v>5.9774629999999997E-3</v>
      </c>
      <c r="E35">
        <f t="shared" si="9"/>
        <v>5.9774629999999997E-3</v>
      </c>
      <c r="F35">
        <f t="shared" si="10"/>
        <v>2.9445105634997804E-2</v>
      </c>
      <c r="G35">
        <f t="shared" si="11"/>
        <v>0.9705548943650022</v>
      </c>
      <c r="H35" s="2">
        <f t="shared" si="15"/>
        <v>89928.466172546221</v>
      </c>
      <c r="I35" s="2">
        <f t="shared" si="12"/>
        <v>2647.9531860439502</v>
      </c>
      <c r="J35" s="2">
        <f t="shared" si="13"/>
        <v>443022.44789762126</v>
      </c>
      <c r="K35" s="2">
        <f>SUM(J35:$J$43)</f>
        <v>2695260.9541544025</v>
      </c>
      <c r="L35" s="5">
        <f t="shared" si="14"/>
        <v>29.97116562605428</v>
      </c>
      <c r="N35">
        <f t="shared" si="17"/>
        <v>40</v>
      </c>
      <c r="O35" s="4">
        <v>35.531586897251934</v>
      </c>
      <c r="P35" s="4">
        <v>34.318837831201556</v>
      </c>
      <c r="Q35" s="4">
        <v>36.831609626653972</v>
      </c>
    </row>
    <row r="36" spans="1:17" x14ac:dyDescent="0.4">
      <c r="A36">
        <f t="shared" si="16"/>
        <v>50</v>
      </c>
      <c r="B36">
        <v>5</v>
      </c>
      <c r="C36" t="s">
        <v>19</v>
      </c>
      <c r="D36">
        <v>8.6974249999999999E-3</v>
      </c>
      <c r="E36">
        <f t="shared" si="9"/>
        <v>8.6974249999999999E-3</v>
      </c>
      <c r="F36">
        <f t="shared" si="10"/>
        <v>4.2555118885544085E-2</v>
      </c>
      <c r="G36">
        <f t="shared" si="11"/>
        <v>0.95744488111445591</v>
      </c>
      <c r="H36" s="2">
        <f t="shared" si="15"/>
        <v>87280.512986502275</v>
      </c>
      <c r="I36" s="2">
        <f t="shared" si="12"/>
        <v>3714.2326065318789</v>
      </c>
      <c r="J36" s="2">
        <f t="shared" si="13"/>
        <v>427116.9834161817</v>
      </c>
      <c r="K36" s="2">
        <f>SUM(J36:$J$43)</f>
        <v>2252238.5062567815</v>
      </c>
      <c r="L36" s="5">
        <f t="shared" si="14"/>
        <v>25.804597489076226</v>
      </c>
      <c r="N36">
        <f t="shared" si="17"/>
        <v>45</v>
      </c>
      <c r="O36" s="4">
        <v>31.091030010934617</v>
      </c>
      <c r="P36" s="4">
        <v>29.97116562605428</v>
      </c>
      <c r="Q36" s="4">
        <v>32.282871010155013</v>
      </c>
    </row>
    <row r="37" spans="1:17" x14ac:dyDescent="0.4">
      <c r="A37">
        <f t="shared" si="16"/>
        <v>55</v>
      </c>
      <c r="B37">
        <v>5</v>
      </c>
      <c r="C37" t="s">
        <v>20</v>
      </c>
      <c r="D37">
        <v>1.4084853E-2</v>
      </c>
      <c r="E37">
        <f t="shared" si="9"/>
        <v>1.4084853E-2</v>
      </c>
      <c r="F37">
        <f t="shared" si="10"/>
        <v>6.8001678254108189E-2</v>
      </c>
      <c r="G37">
        <f t="shared" si="11"/>
        <v>0.93199832174589181</v>
      </c>
      <c r="H37" s="2">
        <f t="shared" si="15"/>
        <v>83566.280379970398</v>
      </c>
      <c r="I37" s="2">
        <f t="shared" si="12"/>
        <v>5682.6473112913409</v>
      </c>
      <c r="J37" s="2">
        <f t="shared" si="13"/>
        <v>403624.78362162365</v>
      </c>
      <c r="K37" s="2">
        <f>SUM(J37:$J$43)</f>
        <v>1825121.5228406</v>
      </c>
      <c r="L37" s="5">
        <f t="shared" si="14"/>
        <v>21.84040637613511</v>
      </c>
      <c r="N37">
        <f t="shared" si="17"/>
        <v>50</v>
      </c>
      <c r="O37" s="4">
        <v>26.784124482626073</v>
      </c>
      <c r="P37" s="4">
        <v>25.804597489076226</v>
      </c>
      <c r="Q37" s="4">
        <v>27.814646996334787</v>
      </c>
    </row>
    <row r="38" spans="1:17" x14ac:dyDescent="0.4">
      <c r="A38">
        <f t="shared" si="16"/>
        <v>60</v>
      </c>
      <c r="B38">
        <v>5</v>
      </c>
      <c r="C38" t="s">
        <v>21</v>
      </c>
      <c r="D38">
        <v>1.9809436E-2</v>
      </c>
      <c r="E38">
        <f t="shared" si="9"/>
        <v>1.9809436E-2</v>
      </c>
      <c r="F38">
        <f t="shared" si="10"/>
        <v>9.4300023909361874E-2</v>
      </c>
      <c r="G38">
        <f t="shared" si="11"/>
        <v>0.90569997609063813</v>
      </c>
      <c r="H38" s="2">
        <f t="shared" si="15"/>
        <v>77883.633068679061</v>
      </c>
      <c r="I38" s="2">
        <f t="shared" si="12"/>
        <v>7344.4284605244029</v>
      </c>
      <c r="J38" s="2">
        <f t="shared" si="13"/>
        <v>371057.09419208433</v>
      </c>
      <c r="K38" s="2">
        <f>SUM(J38:$J$43)</f>
        <v>1421496.7392189761</v>
      </c>
      <c r="L38" s="5">
        <f t="shared" si="14"/>
        <v>18.251546354616984</v>
      </c>
      <c r="N38">
        <f t="shared" si="17"/>
        <v>55</v>
      </c>
      <c r="O38" s="4">
        <v>22.74954961094744</v>
      </c>
      <c r="P38" s="4">
        <v>21.84040637613511</v>
      </c>
      <c r="Q38" s="4">
        <v>23.697318177173184</v>
      </c>
    </row>
    <row r="39" spans="1:17" x14ac:dyDescent="0.4">
      <c r="A39" s="6">
        <f t="shared" si="16"/>
        <v>65</v>
      </c>
      <c r="B39" s="6">
        <v>5</v>
      </c>
      <c r="C39" s="6" t="s">
        <v>22</v>
      </c>
      <c r="D39">
        <v>2.9694389000000002E-2</v>
      </c>
      <c r="E39">
        <f t="shared" si="9"/>
        <v>2.9694389000000002E-2</v>
      </c>
      <c r="F39">
        <f t="shared" si="10"/>
        <v>0.13797580908006413</v>
      </c>
      <c r="G39">
        <f t="shared" si="11"/>
        <v>0.86202419091993587</v>
      </c>
      <c r="H39" s="2">
        <f t="shared" si="15"/>
        <v>70539.204608154658</v>
      </c>
      <c r="I39" s="2">
        <f t="shared" si="12"/>
        <v>9732.703827674326</v>
      </c>
      <c r="J39" s="2">
        <f t="shared" si="13"/>
        <v>328364.26347158744</v>
      </c>
      <c r="K39" s="2">
        <f>SUM(J39:$J$43)</f>
        <v>1050439.6450268917</v>
      </c>
      <c r="L39" s="5">
        <f t="shared" si="14"/>
        <v>14.89157201108355</v>
      </c>
      <c r="N39">
        <f t="shared" si="17"/>
        <v>60</v>
      </c>
      <c r="O39" s="4">
        <v>18.978758647168036</v>
      </c>
      <c r="P39" s="4">
        <v>18.251546354616984</v>
      </c>
      <c r="Q39" s="4">
        <v>19.717665542516055</v>
      </c>
    </row>
    <row r="40" spans="1:17" x14ac:dyDescent="0.4">
      <c r="A40">
        <f t="shared" si="16"/>
        <v>70</v>
      </c>
      <c r="B40">
        <v>5</v>
      </c>
      <c r="C40" t="s">
        <v>23</v>
      </c>
      <c r="D40">
        <v>4.4928562999999998E-2</v>
      </c>
      <c r="E40">
        <f t="shared" si="9"/>
        <v>4.4928562999999998E-2</v>
      </c>
      <c r="F40">
        <f t="shared" si="10"/>
        <v>0.2011985122811617</v>
      </c>
      <c r="G40">
        <f t="shared" si="11"/>
        <v>0.7988014877188383</v>
      </c>
      <c r="H40" s="2">
        <f t="shared" si="15"/>
        <v>60806.500780480332</v>
      </c>
      <c r="I40" s="2">
        <f t="shared" si="12"/>
        <v>12234.177494055941</v>
      </c>
      <c r="J40" s="2">
        <f t="shared" si="13"/>
        <v>273447.06016726181</v>
      </c>
      <c r="K40" s="2">
        <f>SUM(J40:$J$43)</f>
        <v>722075.3815553044</v>
      </c>
      <c r="L40" s="5">
        <f t="shared" si="14"/>
        <v>11.874970147716507</v>
      </c>
      <c r="N40" s="6">
        <f t="shared" si="17"/>
        <v>65</v>
      </c>
      <c r="O40" s="4">
        <v>15.491255905480562</v>
      </c>
      <c r="P40" s="4">
        <v>14.89157201108355</v>
      </c>
      <c r="Q40" s="4">
        <v>16.08324063062074</v>
      </c>
    </row>
    <row r="41" spans="1:17" x14ac:dyDescent="0.4">
      <c r="A41">
        <f t="shared" si="16"/>
        <v>75</v>
      </c>
      <c r="B41">
        <v>5</v>
      </c>
      <c r="C41" t="s">
        <v>24</v>
      </c>
      <c r="D41">
        <v>6.8316935999999995E-2</v>
      </c>
      <c r="E41">
        <f t="shared" si="9"/>
        <v>6.8316935999999995E-2</v>
      </c>
      <c r="F41">
        <f t="shared" si="10"/>
        <v>0.2893567122017302</v>
      </c>
      <c r="G41">
        <f t="shared" si="11"/>
        <v>0.7106432877982698</v>
      </c>
      <c r="H41" s="2">
        <f t="shared" si="15"/>
        <v>48572.323286424391</v>
      </c>
      <c r="I41" s="2">
        <f t="shared" si="12"/>
        <v>14054.727770159301</v>
      </c>
      <c r="J41" s="2">
        <f t="shared" si="13"/>
        <v>207724.7970067237</v>
      </c>
      <c r="K41" s="2">
        <f>SUM(J41:$J$43)</f>
        <v>448628.32138804247</v>
      </c>
      <c r="L41" s="5">
        <f t="shared" si="14"/>
        <v>9.2362953022144367</v>
      </c>
      <c r="N41">
        <f t="shared" si="17"/>
        <v>70</v>
      </c>
      <c r="O41" s="4">
        <v>12.339804792285959</v>
      </c>
      <c r="P41" s="4">
        <v>11.874970147716507</v>
      </c>
      <c r="Q41" s="4">
        <v>12.778379298425165</v>
      </c>
    </row>
    <row r="42" spans="1:17" x14ac:dyDescent="0.4">
      <c r="A42">
        <f t="shared" si="16"/>
        <v>80</v>
      </c>
      <c r="B42">
        <v>5</v>
      </c>
      <c r="C42" t="s">
        <v>25</v>
      </c>
      <c r="D42">
        <v>0.113038526</v>
      </c>
      <c r="E42">
        <f t="shared" si="9"/>
        <v>0.113038526</v>
      </c>
      <c r="F42">
        <f t="shared" si="10"/>
        <v>0.43174932591333059</v>
      </c>
      <c r="G42">
        <f t="shared" si="11"/>
        <v>0.56825067408666941</v>
      </c>
      <c r="H42" s="2">
        <f t="shared" si="15"/>
        <v>34517.595516265093</v>
      </c>
      <c r="I42" s="2">
        <f t="shared" si="12"/>
        <v>14902.948596296457</v>
      </c>
      <c r="J42" s="2">
        <f t="shared" si="13"/>
        <v>135330.60609058433</v>
      </c>
      <c r="K42" s="2">
        <f>SUM(J42:$J$43)</f>
        <v>240903.5243813188</v>
      </c>
      <c r="L42" s="5">
        <f t="shared" si="14"/>
        <v>6.9791513799911771</v>
      </c>
      <c r="N42">
        <f t="shared" si="17"/>
        <v>75</v>
      </c>
      <c r="O42" s="4">
        <v>9.5925236646836094</v>
      </c>
      <c r="P42" s="4">
        <v>9.2362953022144367</v>
      </c>
      <c r="Q42" s="4">
        <v>9.917085806337365</v>
      </c>
    </row>
    <row r="43" spans="1:17" x14ac:dyDescent="0.4">
      <c r="A43">
        <f t="shared" si="16"/>
        <v>85</v>
      </c>
      <c r="B43" t="s">
        <v>26</v>
      </c>
      <c r="C43" t="s">
        <v>27</v>
      </c>
      <c r="D43">
        <v>0.18579240999999999</v>
      </c>
      <c r="E43">
        <f t="shared" si="9"/>
        <v>0.18579240999999999</v>
      </c>
      <c r="F43">
        <v>1</v>
      </c>
      <c r="G43">
        <f t="shared" si="11"/>
        <v>0</v>
      </c>
      <c r="H43" s="2">
        <f t="shared" si="15"/>
        <v>19614.646919968636</v>
      </c>
      <c r="I43" s="2">
        <f t="shared" si="12"/>
        <v>19614.646919968636</v>
      </c>
      <c r="J43" s="2">
        <f>I43/E43</f>
        <v>105572.91829073447</v>
      </c>
      <c r="K43" s="2">
        <f>SUM(J43:$J$43)</f>
        <v>105572.91829073447</v>
      </c>
      <c r="L43" s="5">
        <f t="shared" si="14"/>
        <v>5.3823511950784217</v>
      </c>
      <c r="N43">
        <f t="shared" si="17"/>
        <v>80</v>
      </c>
      <c r="O43" s="4">
        <v>7.2121968638151115</v>
      </c>
      <c r="P43" s="4">
        <v>6.9791513799911771</v>
      </c>
      <c r="Q43" s="4">
        <v>7.4159406270212322</v>
      </c>
    </row>
    <row r="44" spans="1:17" x14ac:dyDescent="0.4">
      <c r="D44" t="s">
        <v>7</v>
      </c>
      <c r="N44">
        <f t="shared" si="17"/>
        <v>85</v>
      </c>
      <c r="O44" s="4">
        <v>5.5977437599655229</v>
      </c>
      <c r="P44" s="4">
        <v>5.3823511950784217</v>
      </c>
      <c r="Q44" s="4">
        <v>5.7837587369820973</v>
      </c>
    </row>
    <row r="45" spans="1:17" x14ac:dyDescent="0.4">
      <c r="A45" t="s">
        <v>2</v>
      </c>
      <c r="B45" t="s">
        <v>3</v>
      </c>
      <c r="C45" t="s">
        <v>4</v>
      </c>
      <c r="D45" s="1" t="s">
        <v>1</v>
      </c>
      <c r="E45" s="1" t="s">
        <v>28</v>
      </c>
      <c r="F45" s="1" t="s">
        <v>29</v>
      </c>
      <c r="G45" s="1" t="s">
        <v>30</v>
      </c>
      <c r="H45" s="1" t="s">
        <v>31</v>
      </c>
      <c r="I45" s="1" t="s">
        <v>32</v>
      </c>
      <c r="J45" s="1" t="s">
        <v>33</v>
      </c>
      <c r="K45" s="1" t="s">
        <v>34</v>
      </c>
      <c r="L45" s="1" t="s">
        <v>35</v>
      </c>
    </row>
    <row r="46" spans="1:17" x14ac:dyDescent="0.4">
      <c r="A46">
        <v>0</v>
      </c>
      <c r="B46">
        <v>1</v>
      </c>
      <c r="C46" t="s">
        <v>8</v>
      </c>
      <c r="D46">
        <v>2.8292624999999998E-2</v>
      </c>
      <c r="E46">
        <f>D46</f>
        <v>2.8292624999999998E-2</v>
      </c>
      <c r="F46">
        <f>1-EXP(-B46*E46)</f>
        <v>2.7896136716137332E-2</v>
      </c>
      <c r="G46">
        <f>1-F46</f>
        <v>0.97210386328386267</v>
      </c>
      <c r="H46" s="1">
        <v>100000</v>
      </c>
      <c r="I46" s="2">
        <f>H46*F46</f>
        <v>2789.613671613733</v>
      </c>
      <c r="J46" s="2">
        <f>0.5*(H46+H47)*B46</f>
        <v>98605.19316419313</v>
      </c>
      <c r="K46" s="2">
        <f>SUM(J46:$J$64)</f>
        <v>7231042.937184426</v>
      </c>
      <c r="L46" s="5">
        <f>K46/H46</f>
        <v>72.310429371844265</v>
      </c>
    </row>
    <row r="47" spans="1:17" x14ac:dyDescent="0.4">
      <c r="A47">
        <v>1</v>
      </c>
      <c r="B47">
        <v>4</v>
      </c>
      <c r="C47" t="s">
        <v>9</v>
      </c>
      <c r="D47">
        <v>1.739006E-3</v>
      </c>
      <c r="E47">
        <f t="shared" ref="E47:E64" si="18">D47</f>
        <v>1.739006E-3</v>
      </c>
      <c r="F47">
        <f t="shared" ref="F47:F64" si="19">1-EXP(-B47*E47)</f>
        <v>6.9318868636490949E-3</v>
      </c>
      <c r="G47">
        <f t="shared" ref="G47:G64" si="20">1-F47</f>
        <v>0.99306811313635091</v>
      </c>
      <c r="H47" s="2">
        <f>H46*G46</f>
        <v>97210.386328386274</v>
      </c>
      <c r="I47" s="2">
        <f t="shared" ref="I47:I64" si="21">H47*F47</f>
        <v>673.85139999999433</v>
      </c>
      <c r="J47" s="2">
        <f t="shared" ref="J47:J64" si="22">0.5*(H47+H48)*B47</f>
        <v>387493.84251354507</v>
      </c>
      <c r="K47" s="2">
        <f>SUM(J47:$J$64)</f>
        <v>7132437.7440202339</v>
      </c>
      <c r="L47" s="5">
        <f t="shared" ref="L47:L64" si="23">K47/H47</f>
        <v>73.371149044981223</v>
      </c>
    </row>
    <row r="48" spans="1:17" x14ac:dyDescent="0.4">
      <c r="A48">
        <v>5</v>
      </c>
      <c r="B48">
        <v>5</v>
      </c>
      <c r="C48" t="s">
        <v>10</v>
      </c>
      <c r="D48">
        <v>6.2275899999999996E-4</v>
      </c>
      <c r="E48">
        <f t="shared" si="18"/>
        <v>6.2275899999999996E-4</v>
      </c>
      <c r="F48">
        <f t="shared" si="19"/>
        <v>3.1089521681815224E-3</v>
      </c>
      <c r="G48">
        <f t="shared" si="20"/>
        <v>0.99689104783181848</v>
      </c>
      <c r="H48" s="2">
        <f t="shared" ref="H48:H64" si="24">H47*G47</f>
        <v>96536.534928386274</v>
      </c>
      <c r="I48" s="2">
        <f t="shared" si="21"/>
        <v>300.12746957433779</v>
      </c>
      <c r="J48" s="2">
        <f t="shared" si="22"/>
        <v>481932.35596799554</v>
      </c>
      <c r="K48" s="2">
        <f>SUM(J48:$J$64)</f>
        <v>6744943.9015066875</v>
      </c>
      <c r="L48" s="5">
        <f t="shared" si="23"/>
        <v>69.869339173094318</v>
      </c>
    </row>
    <row r="49" spans="1:12" x14ac:dyDescent="0.4">
      <c r="A49">
        <f>A48+5</f>
        <v>10</v>
      </c>
      <c r="B49">
        <v>5</v>
      </c>
      <c r="C49" t="s">
        <v>11</v>
      </c>
      <c r="D49">
        <v>5.4871300000000004E-4</v>
      </c>
      <c r="E49">
        <f t="shared" si="18"/>
        <v>5.4871300000000004E-4</v>
      </c>
      <c r="F49">
        <f t="shared" si="19"/>
        <v>2.7398048650563167E-3</v>
      </c>
      <c r="G49">
        <f t="shared" si="20"/>
        <v>0.99726019513494368</v>
      </c>
      <c r="H49" s="2">
        <f t="shared" si="24"/>
        <v>96236.40745881194</v>
      </c>
      <c r="I49" s="2">
        <f t="shared" si="21"/>
        <v>263.66897735119494</v>
      </c>
      <c r="J49" s="2">
        <f t="shared" si="22"/>
        <v>480522.86485068174</v>
      </c>
      <c r="K49" s="2">
        <f>SUM(J49:$J$64)</f>
        <v>6263011.5455386927</v>
      </c>
      <c r="L49" s="5">
        <f t="shared" si="23"/>
        <v>65.079440420915432</v>
      </c>
    </row>
    <row r="50" spans="1:12" x14ac:dyDescent="0.4">
      <c r="A50">
        <f t="shared" ref="A50:A64" si="25">A49+5</f>
        <v>15</v>
      </c>
      <c r="B50">
        <v>5</v>
      </c>
      <c r="C50" t="s">
        <v>12</v>
      </c>
      <c r="D50">
        <v>8.9158200000000003E-4</v>
      </c>
      <c r="E50">
        <f t="shared" si="18"/>
        <v>8.9158200000000003E-4</v>
      </c>
      <c r="F50">
        <f t="shared" si="19"/>
        <v>4.4479882680873439E-3</v>
      </c>
      <c r="G50">
        <f t="shared" si="20"/>
        <v>0.99555201173191266</v>
      </c>
      <c r="H50" s="2">
        <f t="shared" si="24"/>
        <v>95972.73848146075</v>
      </c>
      <c r="I50" s="2">
        <f t="shared" si="21"/>
        <v>426.8856148217522</v>
      </c>
      <c r="J50" s="2">
        <f t="shared" si="22"/>
        <v>478796.47837024939</v>
      </c>
      <c r="K50" s="2">
        <f>SUM(J50:$J$64)</f>
        <v>5782488.6806880115</v>
      </c>
      <c r="L50" s="5">
        <f t="shared" si="23"/>
        <v>60.251366921295329</v>
      </c>
    </row>
    <row r="51" spans="1:12" x14ac:dyDescent="0.4">
      <c r="A51">
        <f t="shared" si="25"/>
        <v>20</v>
      </c>
      <c r="B51">
        <v>5</v>
      </c>
      <c r="C51" t="s">
        <v>13</v>
      </c>
      <c r="D51">
        <v>1.2272679999999999E-3</v>
      </c>
      <c r="E51">
        <f t="shared" si="18"/>
        <v>1.2272679999999999E-3</v>
      </c>
      <c r="F51">
        <f t="shared" si="19"/>
        <v>6.1175511170047381E-3</v>
      </c>
      <c r="G51">
        <f t="shared" si="20"/>
        <v>0.99388244888299526</v>
      </c>
      <c r="H51" s="2">
        <f t="shared" si="24"/>
        <v>95545.852866639005</v>
      </c>
      <c r="I51" s="2">
        <f t="shared" si="21"/>
        <v>584.50663892947784</v>
      </c>
      <c r="J51" s="2">
        <f t="shared" si="22"/>
        <v>476267.99773587135</v>
      </c>
      <c r="K51" s="2">
        <f>SUM(J51:$J$64)</f>
        <v>5303692.2023177622</v>
      </c>
      <c r="L51" s="5">
        <f t="shared" si="23"/>
        <v>55.509392016423256</v>
      </c>
    </row>
    <row r="52" spans="1:12" x14ac:dyDescent="0.4">
      <c r="A52">
        <f t="shared" si="25"/>
        <v>25</v>
      </c>
      <c r="B52">
        <v>5</v>
      </c>
      <c r="C52" t="s">
        <v>14</v>
      </c>
      <c r="D52">
        <v>1.2921149999999999E-3</v>
      </c>
      <c r="E52">
        <f t="shared" si="18"/>
        <v>1.2921149999999999E-3</v>
      </c>
      <c r="F52">
        <f t="shared" si="19"/>
        <v>6.4397503558605296E-3</v>
      </c>
      <c r="G52">
        <f t="shared" si="20"/>
        <v>0.99356024964413947</v>
      </c>
      <c r="H52" s="2">
        <f t="shared" si="24"/>
        <v>94961.346227709524</v>
      </c>
      <c r="I52" s="2">
        <f t="shared" si="21"/>
        <v>611.52736316288735</v>
      </c>
      <c r="J52" s="2">
        <f t="shared" si="22"/>
        <v>473277.91273064038</v>
      </c>
      <c r="K52" s="2">
        <f>SUM(J52:$J$64)</f>
        <v>4827424.2045818912</v>
      </c>
      <c r="L52" s="5">
        <f t="shared" si="23"/>
        <v>50.835675739117299</v>
      </c>
    </row>
    <row r="53" spans="1:12" x14ac:dyDescent="0.4">
      <c r="A53">
        <f t="shared" si="25"/>
        <v>30</v>
      </c>
      <c r="B53">
        <v>5</v>
      </c>
      <c r="C53" t="s">
        <v>15</v>
      </c>
      <c r="D53">
        <v>1.4644549999999999E-3</v>
      </c>
      <c r="E53">
        <f t="shared" si="18"/>
        <v>1.4644549999999999E-3</v>
      </c>
      <c r="F53">
        <f t="shared" si="19"/>
        <v>7.2955324563074297E-3</v>
      </c>
      <c r="G53">
        <f t="shared" si="20"/>
        <v>0.99270446754369257</v>
      </c>
      <c r="H53" s="2">
        <f t="shared" si="24"/>
        <v>94349.818864546643</v>
      </c>
      <c r="I53" s="2">
        <f t="shared" si="21"/>
        <v>688.3321657730271</v>
      </c>
      <c r="J53" s="2">
        <f t="shared" si="22"/>
        <v>470028.26390830067</v>
      </c>
      <c r="K53" s="2">
        <f>SUM(J53:$J$64)</f>
        <v>4354146.2918512505</v>
      </c>
      <c r="L53" s="5">
        <f t="shared" si="23"/>
        <v>46.148962915363754</v>
      </c>
    </row>
    <row r="54" spans="1:12" x14ac:dyDescent="0.4">
      <c r="A54">
        <f t="shared" si="25"/>
        <v>35</v>
      </c>
      <c r="B54">
        <v>5</v>
      </c>
      <c r="C54" t="s">
        <v>16</v>
      </c>
      <c r="D54">
        <v>1.8485839999999999E-3</v>
      </c>
      <c r="E54">
        <f t="shared" si="18"/>
        <v>1.8485839999999999E-3</v>
      </c>
      <c r="F54">
        <f t="shared" si="19"/>
        <v>9.2003355175863666E-3</v>
      </c>
      <c r="G54">
        <f t="shared" si="20"/>
        <v>0.99079966448241363</v>
      </c>
      <c r="H54" s="2">
        <f t="shared" si="24"/>
        <v>93661.486698773617</v>
      </c>
      <c r="I54" s="2">
        <f t="shared" si="21"/>
        <v>861.71710270466997</v>
      </c>
      <c r="J54" s="2">
        <f t="shared" si="22"/>
        <v>466153.14073710644</v>
      </c>
      <c r="K54" s="2">
        <f>SUM(J54:$J$64)</f>
        <v>3884118.0279429504</v>
      </c>
      <c r="L54" s="5">
        <f t="shared" si="23"/>
        <v>41.469745621642026</v>
      </c>
    </row>
    <row r="55" spans="1:12" x14ac:dyDescent="0.4">
      <c r="A55">
        <f t="shared" si="25"/>
        <v>40</v>
      </c>
      <c r="B55">
        <v>5</v>
      </c>
      <c r="C55" t="s">
        <v>17</v>
      </c>
      <c r="D55">
        <v>2.611712E-3</v>
      </c>
      <c r="E55">
        <f t="shared" si="18"/>
        <v>2.611712E-3</v>
      </c>
      <c r="F55">
        <f t="shared" si="19"/>
        <v>1.2973666934201433E-2</v>
      </c>
      <c r="G55">
        <f t="shared" si="20"/>
        <v>0.98702633306579857</v>
      </c>
      <c r="H55" s="2">
        <f t="shared" si="24"/>
        <v>92799.769596068945</v>
      </c>
      <c r="I55" s="2">
        <f t="shared" si="21"/>
        <v>1203.9533023100312</v>
      </c>
      <c r="J55" s="2">
        <f t="shared" si="22"/>
        <v>460988.9647245697</v>
      </c>
      <c r="K55" s="2">
        <f>SUM(J55:$J$64)</f>
        <v>3417964.8872058438</v>
      </c>
      <c r="L55" s="5">
        <f t="shared" si="23"/>
        <v>36.831609626653972</v>
      </c>
    </row>
    <row r="56" spans="1:12" x14ac:dyDescent="0.4">
      <c r="A56">
        <f t="shared" si="25"/>
        <v>45</v>
      </c>
      <c r="B56">
        <v>5</v>
      </c>
      <c r="C56" t="s">
        <v>18</v>
      </c>
      <c r="D56">
        <v>3.5395130000000002E-3</v>
      </c>
      <c r="E56">
        <f t="shared" si="18"/>
        <v>3.5395130000000002E-3</v>
      </c>
      <c r="F56">
        <f t="shared" si="19"/>
        <v>1.7541882847722623E-2</v>
      </c>
      <c r="G56">
        <f t="shared" si="20"/>
        <v>0.98245811715227738</v>
      </c>
      <c r="H56" s="2">
        <f t="shared" si="24"/>
        <v>91595.816293758908</v>
      </c>
      <c r="I56" s="2">
        <f t="shared" si="21"/>
        <v>1606.7630787666417</v>
      </c>
      <c r="J56" s="2">
        <f t="shared" si="22"/>
        <v>453962.17377187795</v>
      </c>
      <c r="K56" s="2">
        <f>SUM(J56:$J$64)</f>
        <v>2956975.9224812738</v>
      </c>
      <c r="L56" s="5">
        <f t="shared" si="23"/>
        <v>32.282871010155013</v>
      </c>
    </row>
    <row r="57" spans="1:12" x14ac:dyDescent="0.4">
      <c r="A57">
        <f t="shared" si="25"/>
        <v>50</v>
      </c>
      <c r="B57">
        <v>5</v>
      </c>
      <c r="C57" t="s">
        <v>19</v>
      </c>
      <c r="D57">
        <v>6.8547770000000003E-3</v>
      </c>
      <c r="E57">
        <f t="shared" si="18"/>
        <v>6.8547770000000003E-3</v>
      </c>
      <c r="F57">
        <f t="shared" si="19"/>
        <v>3.3693188549639541E-2</v>
      </c>
      <c r="G57">
        <f t="shared" si="20"/>
        <v>0.96630681145036046</v>
      </c>
      <c r="H57" s="2">
        <f t="shared" si="24"/>
        <v>89989.053214992266</v>
      </c>
      <c r="I57" s="2">
        <f t="shared" si="21"/>
        <v>3032.0181373762807</v>
      </c>
      <c r="J57" s="2">
        <f t="shared" si="22"/>
        <v>442365.22073152068</v>
      </c>
      <c r="K57" s="2">
        <f>SUM(J57:$J$64)</f>
        <v>2503013.748709396</v>
      </c>
      <c r="L57" s="5">
        <f t="shared" si="23"/>
        <v>27.814646996334787</v>
      </c>
    </row>
    <row r="58" spans="1:12" x14ac:dyDescent="0.4">
      <c r="A58">
        <f t="shared" si="25"/>
        <v>55</v>
      </c>
      <c r="B58">
        <v>5</v>
      </c>
      <c r="C58" t="s">
        <v>20</v>
      </c>
      <c r="D58">
        <v>9.4026089999999993E-3</v>
      </c>
      <c r="E58">
        <f t="shared" si="18"/>
        <v>9.4026089999999993E-3</v>
      </c>
      <c r="F58">
        <f t="shared" si="19"/>
        <v>4.5925048398551271E-2</v>
      </c>
      <c r="G58">
        <f t="shared" si="20"/>
        <v>0.95407495160144873</v>
      </c>
      <c r="H58" s="2">
        <f t="shared" si="24"/>
        <v>86957.03507761599</v>
      </c>
      <c r="I58" s="2">
        <f t="shared" si="21"/>
        <v>3993.506044534035</v>
      </c>
      <c r="J58" s="2">
        <f t="shared" si="22"/>
        <v>424801.41027674486</v>
      </c>
      <c r="K58" s="2">
        <f>SUM(J58:$J$64)</f>
        <v>2060648.5279778754</v>
      </c>
      <c r="L58" s="5">
        <f t="shared" si="23"/>
        <v>23.697318177173184</v>
      </c>
    </row>
    <row r="59" spans="1:12" x14ac:dyDescent="0.4">
      <c r="A59">
        <f t="shared" si="25"/>
        <v>60</v>
      </c>
      <c r="B59">
        <v>5</v>
      </c>
      <c r="C59" t="s">
        <v>21</v>
      </c>
      <c r="D59">
        <v>1.5264842000000001E-2</v>
      </c>
      <c r="E59">
        <f t="shared" si="18"/>
        <v>1.5264842000000001E-2</v>
      </c>
      <c r="F59">
        <f t="shared" si="19"/>
        <v>7.3484227818399916E-2</v>
      </c>
      <c r="G59">
        <f t="shared" si="20"/>
        <v>0.92651577218160008</v>
      </c>
      <c r="H59" s="2">
        <f t="shared" si="24"/>
        <v>82963.529033081955</v>
      </c>
      <c r="I59" s="2">
        <f t="shared" si="21"/>
        <v>6096.51086808543</v>
      </c>
      <c r="J59" s="2">
        <f t="shared" si="22"/>
        <v>399576.3679951962</v>
      </c>
      <c r="K59" s="2">
        <f>SUM(J59:$J$64)</f>
        <v>1635847.1177011305</v>
      </c>
      <c r="L59" s="5">
        <f t="shared" si="23"/>
        <v>19.717665542516055</v>
      </c>
    </row>
    <row r="60" spans="1:12" x14ac:dyDescent="0.4">
      <c r="A60" s="6">
        <f t="shared" si="25"/>
        <v>65</v>
      </c>
      <c r="B60" s="6">
        <v>5</v>
      </c>
      <c r="C60" s="6" t="s">
        <v>22</v>
      </c>
      <c r="D60">
        <v>2.3520396999999998E-2</v>
      </c>
      <c r="E60">
        <f t="shared" si="18"/>
        <v>2.3520396999999998E-2</v>
      </c>
      <c r="F60">
        <f t="shared" si="19"/>
        <v>0.11095016262485091</v>
      </c>
      <c r="G60">
        <f t="shared" si="20"/>
        <v>0.88904983737514909</v>
      </c>
      <c r="H60" s="2">
        <f t="shared" si="24"/>
        <v>76867.018164996523</v>
      </c>
      <c r="I60" s="2">
        <f t="shared" si="21"/>
        <v>8528.4081658937339</v>
      </c>
      <c r="J60" s="2">
        <f t="shared" si="22"/>
        <v>363014.07041024824</v>
      </c>
      <c r="K60" s="2">
        <f>SUM(J60:$J$64)</f>
        <v>1236270.7497059344</v>
      </c>
      <c r="L60" s="5">
        <f t="shared" si="23"/>
        <v>16.08324063062074</v>
      </c>
    </row>
    <row r="61" spans="1:12" x14ac:dyDescent="0.4">
      <c r="A61">
        <f t="shared" si="25"/>
        <v>70</v>
      </c>
      <c r="B61">
        <v>5</v>
      </c>
      <c r="C61" t="s">
        <v>23</v>
      </c>
      <c r="D61">
        <v>3.7806164000000003E-2</v>
      </c>
      <c r="E61">
        <f t="shared" si="18"/>
        <v>3.7806164000000003E-2</v>
      </c>
      <c r="F61">
        <f t="shared" si="19"/>
        <v>0.17223900529226099</v>
      </c>
      <c r="G61">
        <f t="shared" si="20"/>
        <v>0.82776099470773901</v>
      </c>
      <c r="H61" s="2">
        <f t="shared" si="24"/>
        <v>68338.609999102788</v>
      </c>
      <c r="I61" s="2">
        <f t="shared" si="21"/>
        <v>11770.574209301225</v>
      </c>
      <c r="J61" s="2">
        <f t="shared" si="22"/>
        <v>312266.61447226087</v>
      </c>
      <c r="K61" s="2">
        <f>SUM(J61:$J$64)</f>
        <v>873256.67929568607</v>
      </c>
      <c r="L61" s="5">
        <f t="shared" si="23"/>
        <v>12.778379298425165</v>
      </c>
    </row>
    <row r="62" spans="1:12" x14ac:dyDescent="0.4">
      <c r="A62">
        <f t="shared" si="25"/>
        <v>75</v>
      </c>
      <c r="B62">
        <v>5</v>
      </c>
      <c r="C62" t="s">
        <v>24</v>
      </c>
      <c r="D62">
        <v>5.8071479000000002E-2</v>
      </c>
      <c r="E62">
        <f t="shared" si="18"/>
        <v>5.8071479000000002E-2</v>
      </c>
      <c r="F62">
        <f t="shared" si="19"/>
        <v>0.25200381029656571</v>
      </c>
      <c r="G62">
        <f t="shared" si="20"/>
        <v>0.74799618970343429</v>
      </c>
      <c r="H62" s="2">
        <f t="shared" si="24"/>
        <v>56568.035789801565</v>
      </c>
      <c r="I62" s="2">
        <f t="shared" si="21"/>
        <v>14255.360560022493</v>
      </c>
      <c r="J62" s="2">
        <f t="shared" si="22"/>
        <v>247201.77754895156</v>
      </c>
      <c r="K62" s="2">
        <f>SUM(J62:$J$64)</f>
        <v>560990.06482342514</v>
      </c>
      <c r="L62" s="5">
        <f t="shared" si="23"/>
        <v>9.917085806337365</v>
      </c>
    </row>
    <row r="63" spans="1:12" x14ac:dyDescent="0.4">
      <c r="A63">
        <f t="shared" si="25"/>
        <v>80</v>
      </c>
      <c r="B63">
        <v>5</v>
      </c>
      <c r="C63" t="s">
        <v>25</v>
      </c>
      <c r="D63">
        <v>0.10436274099999999</v>
      </c>
      <c r="E63">
        <f t="shared" si="18"/>
        <v>0.10436274099999999</v>
      </c>
      <c r="F63">
        <f t="shared" si="19"/>
        <v>0.40655675966581972</v>
      </c>
      <c r="G63">
        <f t="shared" si="20"/>
        <v>0.59344324033418028</v>
      </c>
      <c r="H63" s="2">
        <f t="shared" si="24"/>
        <v>42312.675229779074</v>
      </c>
      <c r="I63" s="2">
        <f t="shared" si="21"/>
        <v>17202.504134211173</v>
      </c>
      <c r="J63" s="2">
        <f t="shared" si="22"/>
        <v>168557.11581336742</v>
      </c>
      <c r="K63" s="2">
        <f>SUM(J63:$J$64)</f>
        <v>313788.28727447358</v>
      </c>
      <c r="L63" s="5">
        <f t="shared" si="23"/>
        <v>7.4159406270212322</v>
      </c>
    </row>
    <row r="64" spans="1:12" x14ac:dyDescent="0.4">
      <c r="A64">
        <f t="shared" si="25"/>
        <v>85</v>
      </c>
      <c r="B64" t="s">
        <v>26</v>
      </c>
      <c r="C64" t="s">
        <v>27</v>
      </c>
      <c r="D64">
        <v>0.172897945</v>
      </c>
      <c r="E64">
        <f t="shared" si="18"/>
        <v>0.172897945</v>
      </c>
      <c r="F64">
        <v>1</v>
      </c>
      <c r="G64">
        <f t="shared" si="20"/>
        <v>0</v>
      </c>
      <c r="H64" s="2">
        <f t="shared" si="24"/>
        <v>25110.171095567901</v>
      </c>
      <c r="I64" s="2">
        <f t="shared" si="21"/>
        <v>25110.171095567901</v>
      </c>
      <c r="J64" s="2">
        <f>I64/E64</f>
        <v>145231.17146110616</v>
      </c>
      <c r="K64" s="2">
        <f>SUM(J64:$J$64)</f>
        <v>145231.17146110616</v>
      </c>
      <c r="L64" s="5">
        <f t="shared" si="23"/>
        <v>5.7837587369820973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2024-02-12T03:35:31Z</dcterms:created>
  <dcterms:modified xsi:type="dcterms:W3CDTF">2024-02-18T06:27:02Z</dcterms:modified>
</cp:coreProperties>
</file>