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UG2_PUBP233\LifeTableDataSet\"/>
    </mc:Choice>
  </mc:AlternateContent>
  <xr:revisionPtr revIDLastSave="0" documentId="13_ncr:1_{5E33BD70-2BC2-44BC-9817-86F13D8F684C}" xr6:coauthVersionLast="47" xr6:coauthVersionMax="47" xr10:uidLastSave="{00000000-0000-0000-0000-000000000000}"/>
  <bookViews>
    <workbookView xWindow="-103" yWindow="-103" windowWidth="22149" windowHeight="13200" xr2:uid="{A5378235-3A9B-4A67-B0B7-AD1E75AA96B6}"/>
  </bookViews>
  <sheets>
    <sheet name="India" sheetId="6" r:id="rId1"/>
    <sheet name="Afghanistan" sheetId="1" r:id="rId2"/>
    <sheet name="Bangladesh" sheetId="2" r:id="rId3"/>
    <sheet name="Cuba" sheetId="3" r:id="rId4"/>
    <sheet name="USA" sheetId="4" r:id="rId5"/>
    <sheet name="Japan" sheetId="5" r:id="rId6"/>
    <sheet name="Germany" sheetId="7" r:id="rId7"/>
    <sheet name="SouthAfrica" sheetId="8" r:id="rId8"/>
    <sheet name="Chile" sheetId="10" r:id="rId9"/>
    <sheet name="Uganda" sheetId="9" r:id="rId10"/>
    <sheet name="Brazil" sheetId="11" r:id="rId11"/>
    <sheet name="Italy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L3" i="6"/>
  <c r="K3" i="6"/>
  <c r="J3" i="6"/>
  <c r="AD43" i="2"/>
  <c r="AC42" i="2"/>
  <c r="AD42" i="2" s="1"/>
  <c r="AC41" i="2"/>
  <c r="AD41" i="2" s="1"/>
  <c r="AC40" i="2"/>
  <c r="AD40" i="2" s="1"/>
  <c r="AC39" i="2"/>
  <c r="AD39" i="2" s="1"/>
  <c r="AC38" i="2"/>
  <c r="AD38" i="2" s="1"/>
  <c r="AC37" i="2"/>
  <c r="AD37" i="2" s="1"/>
  <c r="AC36" i="2"/>
  <c r="AD36" i="2" s="1"/>
  <c r="AC35" i="2"/>
  <c r="AD35" i="2" s="1"/>
  <c r="AC34" i="2"/>
  <c r="AD34" i="2" s="1"/>
  <c r="AC33" i="2"/>
  <c r="AD33" i="2" s="1"/>
  <c r="AC32" i="2"/>
  <c r="AD32" i="2" s="1"/>
  <c r="AC31" i="2"/>
  <c r="AD31" i="2" s="1"/>
  <c r="AC30" i="2"/>
  <c r="AD30" i="2" s="1"/>
  <c r="AC29" i="2"/>
  <c r="AD29" i="2" s="1"/>
  <c r="AC28" i="2"/>
  <c r="AD28" i="2" s="1"/>
  <c r="Z28" i="2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AC27" i="2"/>
  <c r="AD27" i="2" s="1"/>
  <c r="AC26" i="2"/>
  <c r="AD26" i="2" s="1"/>
  <c r="AC25" i="2"/>
  <c r="AD25" i="2" s="1"/>
  <c r="AE26" i="2" s="1"/>
  <c r="R43" i="2"/>
  <c r="Q42" i="2"/>
  <c r="R42" i="2" s="1"/>
  <c r="Q41" i="2"/>
  <c r="R41" i="2" s="1"/>
  <c r="Q40" i="2"/>
  <c r="R40" i="2" s="1"/>
  <c r="Q39" i="2"/>
  <c r="R39" i="2" s="1"/>
  <c r="Q38" i="2"/>
  <c r="R38" i="2" s="1"/>
  <c r="Q37" i="2"/>
  <c r="R37" i="2" s="1"/>
  <c r="Q36" i="2"/>
  <c r="R36" i="2" s="1"/>
  <c r="Q35" i="2"/>
  <c r="R35" i="2" s="1"/>
  <c r="Q34" i="2"/>
  <c r="R34" i="2" s="1"/>
  <c r="Q33" i="2"/>
  <c r="R33" i="2" s="1"/>
  <c r="Q32" i="2"/>
  <c r="R32" i="2" s="1"/>
  <c r="Q31" i="2"/>
  <c r="R31" i="2" s="1"/>
  <c r="Q30" i="2"/>
  <c r="R30" i="2" s="1"/>
  <c r="Q29" i="2"/>
  <c r="R29" i="2" s="1"/>
  <c r="Q28" i="2"/>
  <c r="R28" i="2" s="1"/>
  <c r="N28" i="2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Q27" i="2"/>
  <c r="R27" i="2" s="1"/>
  <c r="Q26" i="2"/>
  <c r="R26" i="2" s="1"/>
  <c r="Q25" i="2"/>
  <c r="R25" i="2" s="1"/>
  <c r="S26" i="2" s="1"/>
  <c r="E26" i="2"/>
  <c r="F26" i="2" s="1"/>
  <c r="E27" i="2"/>
  <c r="E28" i="2"/>
  <c r="E29" i="2"/>
  <c r="E30" i="2"/>
  <c r="F30" i="2" s="1"/>
  <c r="E31" i="2"/>
  <c r="E32" i="2"/>
  <c r="E33" i="2"/>
  <c r="F33" i="2" s="1"/>
  <c r="E34" i="2"/>
  <c r="F34" i="2" s="1"/>
  <c r="E35" i="2"/>
  <c r="E36" i="2"/>
  <c r="E37" i="2"/>
  <c r="E38" i="2"/>
  <c r="F38" i="2" s="1"/>
  <c r="E39" i="2"/>
  <c r="E40" i="2"/>
  <c r="E41" i="2"/>
  <c r="F41" i="2" s="1"/>
  <c r="E42" i="2"/>
  <c r="F42" i="2" s="1"/>
  <c r="E25" i="2"/>
  <c r="F25" i="2" s="1"/>
  <c r="G26" i="2" s="1"/>
  <c r="F27" i="2"/>
  <c r="F28" i="2"/>
  <c r="F29" i="2"/>
  <c r="F31" i="2"/>
  <c r="F32" i="2"/>
  <c r="F35" i="2"/>
  <c r="F36" i="2"/>
  <c r="F37" i="2"/>
  <c r="F39" i="2"/>
  <c r="F40" i="2"/>
  <c r="F4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3" i="2"/>
  <c r="N4" i="2"/>
  <c r="N5" i="2"/>
  <c r="N6" i="2"/>
  <c r="N7" i="2"/>
  <c r="N8" i="2"/>
  <c r="N9" i="2"/>
  <c r="N10" i="2"/>
  <c r="N11" i="2"/>
  <c r="N12" i="2"/>
  <c r="N13" i="2"/>
  <c r="N14" i="2"/>
  <c r="N21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3" i="2"/>
  <c r="AF25" i="2" l="1"/>
  <c r="AE27" i="2"/>
  <c r="AG25" i="2"/>
  <c r="T25" i="2"/>
  <c r="S27" i="2"/>
  <c r="U25" i="2"/>
  <c r="I25" i="2"/>
  <c r="H25" i="2"/>
  <c r="G27" i="2"/>
  <c r="I26" i="2" s="1"/>
  <c r="AE28" i="2" l="1"/>
  <c r="AF27" i="2" s="1"/>
  <c r="AF26" i="2"/>
  <c r="AG26" i="2"/>
  <c r="S28" i="2"/>
  <c r="U27" i="2" s="1"/>
  <c r="T26" i="2"/>
  <c r="U26" i="2"/>
  <c r="G28" i="2"/>
  <c r="H26" i="2"/>
  <c r="AG28" i="2" l="1"/>
  <c r="AE29" i="2"/>
  <c r="AG27" i="2"/>
  <c r="S29" i="2"/>
  <c r="T27" i="2"/>
  <c r="G29" i="2"/>
  <c r="H28" i="2" s="1"/>
  <c r="I28" i="2"/>
  <c r="H27" i="2"/>
  <c r="I27" i="2"/>
  <c r="AE30" i="2" l="1"/>
  <c r="AG29" i="2" s="1"/>
  <c r="AF28" i="2"/>
  <c r="S30" i="2"/>
  <c r="T28" i="2"/>
  <c r="U28" i="2"/>
  <c r="G30" i="2"/>
  <c r="AF29" i="2" l="1"/>
  <c r="AE31" i="2"/>
  <c r="AG30" i="2" s="1"/>
  <c r="S31" i="2"/>
  <c r="T29" i="2"/>
  <c r="U29" i="2"/>
  <c r="G31" i="2"/>
  <c r="I30" i="2"/>
  <c r="H30" i="2"/>
  <c r="I29" i="2"/>
  <c r="H29" i="2"/>
  <c r="AF30" i="2" l="1"/>
  <c r="AE32" i="2"/>
  <c r="AF31" i="2" s="1"/>
  <c r="S32" i="2"/>
  <c r="U31" i="2" s="1"/>
  <c r="T30" i="2"/>
  <c r="U30" i="2"/>
  <c r="G32" i="2"/>
  <c r="I31" i="2" s="1"/>
  <c r="AG31" i="2" l="1"/>
  <c r="AG32" i="2"/>
  <c r="AE33" i="2"/>
  <c r="AF32" i="2" s="1"/>
  <c r="S33" i="2"/>
  <c r="T31" i="2"/>
  <c r="H31" i="2"/>
  <c r="G33" i="2"/>
  <c r="H32" i="2" s="1"/>
  <c r="I32" i="2"/>
  <c r="AE34" i="2" l="1"/>
  <c r="S34" i="2"/>
  <c r="U33" i="2" s="1"/>
  <c r="T32" i="2"/>
  <c r="U32" i="2"/>
  <c r="G34" i="2"/>
  <c r="AE35" i="2" l="1"/>
  <c r="AG34" i="2" s="1"/>
  <c r="AF33" i="2"/>
  <c r="AG33" i="2"/>
  <c r="T33" i="2"/>
  <c r="U34" i="2"/>
  <c r="S35" i="2"/>
  <c r="G35" i="2"/>
  <c r="H34" i="2" s="1"/>
  <c r="I33" i="2"/>
  <c r="H33" i="2"/>
  <c r="AF34" i="2" l="1"/>
  <c r="AE36" i="2"/>
  <c r="AG35" i="2" s="1"/>
  <c r="S36" i="2"/>
  <c r="T35" i="2" s="1"/>
  <c r="T34" i="2"/>
  <c r="I34" i="2"/>
  <c r="G36" i="2"/>
  <c r="I35" i="2" s="1"/>
  <c r="AF35" i="2" l="1"/>
  <c r="AE37" i="2"/>
  <c r="AG36" i="2" s="1"/>
  <c r="S37" i="2"/>
  <c r="U35" i="2"/>
  <c r="H35" i="2"/>
  <c r="G37" i="2"/>
  <c r="I36" i="2" s="1"/>
  <c r="AF36" i="2" l="1"/>
  <c r="AE38" i="2"/>
  <c r="AG37" i="2" s="1"/>
  <c r="S38" i="2"/>
  <c r="U37" i="2" s="1"/>
  <c r="T36" i="2"/>
  <c r="U36" i="2"/>
  <c r="H36" i="2"/>
  <c r="G38" i="2"/>
  <c r="I37" i="2" s="1"/>
  <c r="H37" i="2"/>
  <c r="AE39" i="2" l="1"/>
  <c r="AG38" i="2" s="1"/>
  <c r="AF37" i="2"/>
  <c r="T37" i="2"/>
  <c r="S39" i="2"/>
  <c r="U38" i="2" s="1"/>
  <c r="G39" i="2"/>
  <c r="H38" i="2" s="1"/>
  <c r="AE40" i="2" l="1"/>
  <c r="AF38" i="2"/>
  <c r="T38" i="2"/>
  <c r="S40" i="2"/>
  <c r="T39" i="2" s="1"/>
  <c r="G40" i="2"/>
  <c r="I39" i="2" s="1"/>
  <c r="I38" i="2"/>
  <c r="AE41" i="2" l="1"/>
  <c r="AF39" i="2"/>
  <c r="AG39" i="2"/>
  <c r="S41" i="2"/>
  <c r="U39" i="2"/>
  <c r="H39" i="2"/>
  <c r="G41" i="2"/>
  <c r="H40" i="2"/>
  <c r="I40" i="2"/>
  <c r="AE42" i="2" l="1"/>
  <c r="AF40" i="2"/>
  <c r="AG40" i="2"/>
  <c r="S42" i="2"/>
  <c r="U41" i="2" s="1"/>
  <c r="T40" i="2"/>
  <c r="U40" i="2"/>
  <c r="G42" i="2"/>
  <c r="H41" i="2" s="1"/>
  <c r="AE43" i="2" l="1"/>
  <c r="AF41" i="2"/>
  <c r="AG41" i="2"/>
  <c r="S43" i="2"/>
  <c r="T41" i="2"/>
  <c r="I41" i="2"/>
  <c r="G43" i="2"/>
  <c r="H42" i="2" s="1"/>
  <c r="I42" i="2"/>
  <c r="AG43" i="2" l="1"/>
  <c r="AF43" i="2"/>
  <c r="AF42" i="2"/>
  <c r="AG42" i="2"/>
  <c r="AH38" i="2" s="1"/>
  <c r="AI38" i="2" s="1"/>
  <c r="U43" i="2"/>
  <c r="T43" i="2"/>
  <c r="U42" i="2"/>
  <c r="T42" i="2"/>
  <c r="J33" i="2"/>
  <c r="K33" i="2" s="1"/>
  <c r="J38" i="2"/>
  <c r="K38" i="2" s="1"/>
  <c r="I43" i="2"/>
  <c r="J41" i="2" s="1"/>
  <c r="K41" i="2" s="1"/>
  <c r="H43" i="2"/>
  <c r="AH43" i="2" l="1"/>
  <c r="AI43" i="2" s="1"/>
  <c r="AH25" i="2"/>
  <c r="AI25" i="2" s="1"/>
  <c r="AH27" i="2"/>
  <c r="AI27" i="2" s="1"/>
  <c r="AH26" i="2"/>
  <c r="AI26" i="2" s="1"/>
  <c r="AH28" i="2"/>
  <c r="AI28" i="2" s="1"/>
  <c r="AH30" i="2"/>
  <c r="AI30" i="2" s="1"/>
  <c r="AH29" i="2"/>
  <c r="AI29" i="2" s="1"/>
  <c r="AH32" i="2"/>
  <c r="AI32" i="2" s="1"/>
  <c r="AH34" i="2"/>
  <c r="AI34" i="2" s="1"/>
  <c r="AH31" i="2"/>
  <c r="AI31" i="2" s="1"/>
  <c r="AH33" i="2"/>
  <c r="AI33" i="2" s="1"/>
  <c r="AH35" i="2"/>
  <c r="AI35" i="2" s="1"/>
  <c r="AH36" i="2"/>
  <c r="AI36" i="2" s="1"/>
  <c r="AH37" i="2"/>
  <c r="AI37" i="2" s="1"/>
  <c r="AH39" i="2"/>
  <c r="AI39" i="2" s="1"/>
  <c r="AH42" i="2"/>
  <c r="AI42" i="2" s="1"/>
  <c r="AH40" i="2"/>
  <c r="AI40" i="2" s="1"/>
  <c r="AH41" i="2"/>
  <c r="AI41" i="2" s="1"/>
  <c r="V42" i="2"/>
  <c r="W42" i="2" s="1"/>
  <c r="V41" i="2"/>
  <c r="W41" i="2" s="1"/>
  <c r="V40" i="2"/>
  <c r="W40" i="2" s="1"/>
  <c r="V38" i="2"/>
  <c r="W38" i="2" s="1"/>
  <c r="V39" i="2"/>
  <c r="W39" i="2" s="1"/>
  <c r="V43" i="2"/>
  <c r="W43" i="2" s="1"/>
  <c r="V26" i="2"/>
  <c r="W26" i="2" s="1"/>
  <c r="V27" i="2"/>
  <c r="W27" i="2" s="1"/>
  <c r="V25" i="2"/>
  <c r="W25" i="2" s="1"/>
  <c r="V28" i="2"/>
  <c r="W28" i="2" s="1"/>
  <c r="V29" i="2"/>
  <c r="W29" i="2" s="1"/>
  <c r="V31" i="2"/>
  <c r="W31" i="2" s="1"/>
  <c r="V30" i="2"/>
  <c r="W30" i="2" s="1"/>
  <c r="V33" i="2"/>
  <c r="W33" i="2" s="1"/>
  <c r="V34" i="2"/>
  <c r="W34" i="2" s="1"/>
  <c r="V32" i="2"/>
  <c r="W32" i="2" s="1"/>
  <c r="V37" i="2"/>
  <c r="W37" i="2" s="1"/>
  <c r="V36" i="2"/>
  <c r="W36" i="2" s="1"/>
  <c r="V35" i="2"/>
  <c r="W35" i="2" s="1"/>
  <c r="J35" i="2"/>
  <c r="K35" i="2" s="1"/>
  <c r="J34" i="2"/>
  <c r="K34" i="2" s="1"/>
  <c r="J39" i="2"/>
  <c r="K39" i="2" s="1"/>
  <c r="J37" i="2"/>
  <c r="K37" i="2" s="1"/>
  <c r="J43" i="2"/>
  <c r="K43" i="2" s="1"/>
  <c r="J25" i="2"/>
  <c r="K25" i="2" s="1"/>
  <c r="J26" i="2"/>
  <c r="K26" i="2" s="1"/>
  <c r="J28" i="2"/>
  <c r="K28" i="2" s="1"/>
  <c r="J27" i="2"/>
  <c r="K27" i="2" s="1"/>
  <c r="J30" i="2"/>
  <c r="K30" i="2" s="1"/>
  <c r="J32" i="2"/>
  <c r="K32" i="2" s="1"/>
  <c r="J29" i="2"/>
  <c r="K29" i="2" s="1"/>
  <c r="J31" i="2"/>
  <c r="K31" i="2" s="1"/>
  <c r="J36" i="2"/>
  <c r="K36" i="2" s="1"/>
  <c r="J40" i="2"/>
  <c r="K40" i="2" s="1"/>
  <c r="J42" i="2"/>
  <c r="K42" i="2" s="1"/>
  <c r="B29" i="12" l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30" i="1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31" i="9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28" i="7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29" i="5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30" i="4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28" i="3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28" i="2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30" i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29" i="6" l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6" i="1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<sst xmlns="http://schemas.openxmlformats.org/spreadsheetml/2006/main" count="807" uniqueCount="54">
  <si>
    <t>Afghanistan</t>
  </si>
  <si>
    <t>Age Group</t>
  </si>
  <si>
    <t>Both sexes</t>
  </si>
  <si>
    <t>Male</t>
  </si>
  <si>
    <t>Female</t>
  </si>
  <si>
    <t>&lt;1 year</t>
  </si>
  <si>
    <t>1-4 years</t>
  </si>
  <si>
    <t>5-9 years</t>
  </si>
  <si>
    <t>10-14 years</t>
  </si>
  <si>
    <t>15-19 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</si>
  <si>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</si>
  <si>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</si>
  <si>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</si>
  <si>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</si>
  <si>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</si>
  <si>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</si>
  <si>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</si>
  <si>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</si>
  <si>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</si>
  <si>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</si>
  <si>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</si>
  <si>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</si>
  <si>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</si>
  <si>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85+ years</t>
  </si>
  <si>
    <t>Bangladesh-2019</t>
  </si>
  <si>
    <t>Cuba</t>
  </si>
  <si>
    <t>USA</t>
  </si>
  <si>
    <t>Japan</t>
  </si>
  <si>
    <t>India</t>
  </si>
  <si>
    <t>Germany</t>
  </si>
  <si>
    <t>SouthAfrica</t>
  </si>
  <si>
    <t>Chile</t>
  </si>
  <si>
    <t>Uganda</t>
  </si>
  <si>
    <t>Brazil</t>
  </si>
  <si>
    <t>Italy</t>
  </si>
  <si>
    <t>nMx</t>
  </si>
  <si>
    <t>nqx</t>
  </si>
  <si>
    <t>start age-x</t>
  </si>
  <si>
    <t>interval-n</t>
  </si>
  <si>
    <t>INF</t>
  </si>
  <si>
    <t>nMx_both</t>
  </si>
  <si>
    <t>q(x,n)</t>
  </si>
  <si>
    <t>q(x,n)_Calculated</t>
  </si>
  <si>
    <t>ratio_qxn</t>
  </si>
  <si>
    <t>p(x,n)</t>
  </si>
  <si>
    <t>l(x)</t>
  </si>
  <si>
    <t>d(x,n)</t>
  </si>
  <si>
    <t>L(x,n)</t>
  </si>
  <si>
    <t>T(x)</t>
  </si>
  <si>
    <t>e(x)</t>
  </si>
  <si>
    <t>https://www.who.int/data/gho/data/themes/topics/indicator-groups/indicator-group-details/GHO/gho-ghe-global-health-estimates-life-tables</t>
  </si>
  <si>
    <t>Source: https://apps.who.int/gho/data/node.main.LIFECOUNTRY</t>
  </si>
  <si>
    <t>nMx_Male</t>
  </si>
  <si>
    <t>nMx_Female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</si>
</sst>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1" fillId="0" borderId="0" xfId="0" applyFont="1" applyAlignment="1">
      <alignment horizontal="center"/>
    </xf>
    <xf numFmtId="167" fontId="0" fillId="0" borderId="0" xfId="0" applyNumberForma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C279-354B-41CA-BDB2-18DF08771E9A}">
  <dimension ref="A1:O44"/>
  <sheetViews>
    <sheetView tabSelected="1" topLeftCell="B1" zoomScale="140" zoomScaleNormal="140" workbookViewId="0">
      <selection activeCell="E8" sqref="E8"/>
    </sheetView>
  </sheetViews>
  <sheetFormatPr defaultRowHeight="14.6" x14ac:dyDescent="0.4"/>
  <cols>
    <col min="1" max="1" width="15.4609375" customWidth="1"/>
    <col min="7" max="7" width="12.3828125" bestFit="1" customWidth="1"/>
  </cols>
  <sheetData>
    <row r="1" spans="1:15" x14ac:dyDescent="0.4">
      <c r="A1" t="s">
        <v>28</v>
      </c>
      <c r="B1">
        <v>2019</v>
      </c>
      <c r="D1" s="8" t="s">
        <v>35</v>
      </c>
      <c r="E1" s="8"/>
      <c r="F1" s="8"/>
      <c r="G1" s="8" t="s">
        <v>36</v>
      </c>
      <c r="H1" s="8"/>
      <c r="I1" s="8"/>
      <c r="J1" s="8" t="s">
        <v>42</v>
      </c>
      <c r="K1" s="8"/>
      <c r="L1" s="8"/>
      <c r="M1" s="8" t="s">
        <v>43</v>
      </c>
      <c r="N1" s="8"/>
      <c r="O1" s="8"/>
    </row>
    <row r="2" spans="1:15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  <c r="J2" t="s">
        <v>2</v>
      </c>
      <c r="K2" t="s">
        <v>3</v>
      </c>
      <c r="L2" t="s">
        <v>4</v>
      </c>
      <c r="M2" t="s">
        <v>2</v>
      </c>
      <c r="N2" t="s">
        <v>3</v>
      </c>
      <c r="O2" t="s">
        <v>4</v>
      </c>
    </row>
    <row r="3" spans="1:15" x14ac:dyDescent="0.4">
      <c r="A3">
        <v>0</v>
      </c>
      <c r="B3">
        <v>1</v>
      </c>
      <c r="C3" t="s">
        <v>5</v>
      </c>
      <c r="D3">
        <v>2.8345842999999999E-2</v>
      </c>
      <c r="E3">
        <v>2.8394243999999999E-2</v>
      </c>
      <c r="F3">
        <v>2.8292624999999998E-2</v>
      </c>
      <c r="G3">
        <v>2.7794345000000002E-2</v>
      </c>
      <c r="H3">
        <v>2.7840879999999998E-2</v>
      </c>
      <c r="I3">
        <v>2.7743176000000001E-2</v>
      </c>
      <c r="J3" s="4">
        <f>1-EXP(-B3*D3)</f>
        <v>2.7947868762983274E-2</v>
      </c>
      <c r="K3" s="4">
        <f>1-EXP(-B3*E3)</f>
        <v>2.7994915919613339E-2</v>
      </c>
      <c r="L3" s="4">
        <f>1-EXP(-B3*F3)</f>
        <v>2.7896136716137332E-2</v>
      </c>
      <c r="M3" s="3">
        <f>J3/G3</f>
        <v>1.0055235611050835</v>
      </c>
      <c r="N3" s="3">
        <f>K3/H3</f>
        <v>1.0055327245264281</v>
      </c>
      <c r="O3" s="3">
        <f>L3/I3</f>
        <v>1.0055134536917234</v>
      </c>
    </row>
    <row r="4" spans="1:15" x14ac:dyDescent="0.4">
      <c r="A4">
        <v>1</v>
      </c>
      <c r="B4">
        <v>4</v>
      </c>
      <c r="C4" t="s">
        <v>6</v>
      </c>
      <c r="D4">
        <v>1.559223E-3</v>
      </c>
      <c r="E4">
        <v>1.3958969999999999E-3</v>
      </c>
      <c r="F4">
        <v>1.739006E-3</v>
      </c>
      <c r="G4">
        <v>6.2136400000000003E-3</v>
      </c>
      <c r="H4">
        <v>5.5649439999999996E-3</v>
      </c>
      <c r="I4">
        <v>6.9271130000000004E-3</v>
      </c>
      <c r="J4" s="4">
        <f t="shared" ref="J4:J21" si="0">1-EXP(-B4*D4)</f>
        <v>6.2174829607472004E-3</v>
      </c>
      <c r="K4" s="4">
        <f t="shared" ref="K4:K21" si="1">1-EXP(-B4*E4)</f>
        <v>5.5680287448161003E-3</v>
      </c>
      <c r="L4" s="4">
        <f t="shared" ref="L4:L21" si="2">1-EXP(-B4*F4)</f>
        <v>6.9318868636490949E-3</v>
      </c>
      <c r="M4" s="3">
        <f t="shared" ref="M4:M21" si="3">J4/G4</f>
        <v>1.0006184717407509</v>
      </c>
      <c r="N4" s="3">
        <f t="shared" ref="N4:N21" si="4">K4/H4</f>
        <v>1.0005543173149811</v>
      </c>
      <c r="O4" s="3">
        <f t="shared" ref="O4:O21" si="5">L4/I4</f>
        <v>1.0006891563121743</v>
      </c>
    </row>
    <row r="5" spans="1:15" x14ac:dyDescent="0.4">
      <c r="A5">
        <v>5</v>
      </c>
      <c r="B5">
        <v>5</v>
      </c>
      <c r="C5" t="s">
        <v>7</v>
      </c>
      <c r="D5">
        <v>5.58316E-4</v>
      </c>
      <c r="E5">
        <v>4.9988699999999997E-4</v>
      </c>
      <c r="F5">
        <v>6.2275899999999996E-4</v>
      </c>
      <c r="G5">
        <v>2.787688E-3</v>
      </c>
      <c r="H5">
        <v>2.4963160000000002E-3</v>
      </c>
      <c r="I5">
        <v>3.1089519999999999E-3</v>
      </c>
      <c r="J5" s="4">
        <f t="shared" si="0"/>
        <v>2.7876871637821932E-3</v>
      </c>
      <c r="K5" s="4">
        <f t="shared" si="1"/>
        <v>2.4963140131164518E-3</v>
      </c>
      <c r="L5" s="4">
        <f t="shared" si="2"/>
        <v>3.1089521681815224E-3</v>
      </c>
      <c r="M5" s="3">
        <f t="shared" si="3"/>
        <v>0.99999970003178018</v>
      </c>
      <c r="N5" s="3">
        <f t="shared" si="4"/>
        <v>0.99999920407370368</v>
      </c>
      <c r="O5" s="3">
        <f t="shared" si="5"/>
        <v>1.0000000540958891</v>
      </c>
    </row>
    <row r="6" spans="1:15" x14ac:dyDescent="0.4">
      <c r="A6">
        <f>A5+5</f>
        <v>10</v>
      </c>
      <c r="B6">
        <v>5</v>
      </c>
      <c r="C6" t="s">
        <v>8</v>
      </c>
      <c r="D6">
        <v>5.4242799999999996E-4</v>
      </c>
      <c r="E6">
        <v>5.3676699999999995E-4</v>
      </c>
      <c r="F6">
        <v>5.4871300000000004E-4</v>
      </c>
      <c r="G6">
        <v>2.7084650000000002E-3</v>
      </c>
      <c r="H6">
        <v>2.6802359999999999E-3</v>
      </c>
      <c r="I6">
        <v>2.7398079999999998E-3</v>
      </c>
      <c r="J6" s="4">
        <f t="shared" si="0"/>
        <v>2.7084654710065603E-3</v>
      </c>
      <c r="K6" s="4">
        <f t="shared" si="1"/>
        <v>2.6802367346163702E-3</v>
      </c>
      <c r="L6" s="4">
        <f t="shared" si="2"/>
        <v>2.7398048650563167E-3</v>
      </c>
      <c r="M6" s="3">
        <f t="shared" si="3"/>
        <v>1.0000001739016602</v>
      </c>
      <c r="N6" s="3">
        <f t="shared" si="4"/>
        <v>1.00000027408645</v>
      </c>
      <c r="O6" s="3">
        <f t="shared" si="5"/>
        <v>0.99999885577979075</v>
      </c>
    </row>
    <row r="7" spans="1:15" x14ac:dyDescent="0.4">
      <c r="A7">
        <f t="shared" ref="A7:A21" si="6">A6+5</f>
        <v>15</v>
      </c>
      <c r="B7">
        <v>5</v>
      </c>
      <c r="C7" t="s">
        <v>9</v>
      </c>
      <c r="D7">
        <v>8.3872700000000005E-4</v>
      </c>
      <c r="E7">
        <v>7.9171899999999997E-4</v>
      </c>
      <c r="F7">
        <v>8.9158200000000003E-4</v>
      </c>
      <c r="G7">
        <v>4.184859E-3</v>
      </c>
      <c r="H7">
        <v>3.9507769999999999E-3</v>
      </c>
      <c r="I7">
        <v>4.4479960000000001E-3</v>
      </c>
      <c r="J7" s="4">
        <f t="shared" si="0"/>
        <v>4.184853991812898E-3</v>
      </c>
      <c r="K7" s="4">
        <f t="shared" si="1"/>
        <v>3.9507700914328536E-3</v>
      </c>
      <c r="L7" s="4">
        <f t="shared" si="2"/>
        <v>4.4479882680873439E-3</v>
      </c>
      <c r="M7" s="3">
        <f t="shared" si="3"/>
        <v>0.9999988032602527</v>
      </c>
      <c r="N7" s="3">
        <f t="shared" si="4"/>
        <v>0.99999825133963616</v>
      </c>
      <c r="O7" s="3">
        <f t="shared" si="5"/>
        <v>0.99999826170872097</v>
      </c>
    </row>
    <row r="8" spans="1:15" x14ac:dyDescent="0.4">
      <c r="A8">
        <f t="shared" si="6"/>
        <v>20</v>
      </c>
      <c r="B8">
        <v>5</v>
      </c>
      <c r="C8" t="s">
        <v>10</v>
      </c>
      <c r="D8">
        <v>1.301223E-3</v>
      </c>
      <c r="E8">
        <v>1.366967E-3</v>
      </c>
      <c r="F8">
        <v>1.2272679999999999E-3</v>
      </c>
      <c r="G8">
        <v>6.4850189999999999E-3</v>
      </c>
      <c r="H8">
        <v>6.8115579999999997E-3</v>
      </c>
      <c r="I8">
        <v>6.1175680000000003E-3</v>
      </c>
      <c r="J8" s="4">
        <f t="shared" si="0"/>
        <v>6.4849960593768019E-3</v>
      </c>
      <c r="K8" s="4">
        <f t="shared" si="1"/>
        <v>6.8115306393082831E-3</v>
      </c>
      <c r="L8" s="4">
        <f t="shared" si="2"/>
        <v>6.1175511170047381E-3</v>
      </c>
      <c r="M8" s="3">
        <f t="shared" si="3"/>
        <v>0.99999646252027974</v>
      </c>
      <c r="N8" s="3">
        <f t="shared" si="4"/>
        <v>0.99999598319625016</v>
      </c>
      <c r="O8" s="3">
        <f t="shared" si="5"/>
        <v>0.99999724024395609</v>
      </c>
    </row>
    <row r="9" spans="1:15" x14ac:dyDescent="0.4">
      <c r="A9">
        <f t="shared" si="6"/>
        <v>25</v>
      </c>
      <c r="B9">
        <v>5</v>
      </c>
      <c r="C9" t="s">
        <v>11</v>
      </c>
      <c r="D9">
        <v>1.498421E-3</v>
      </c>
      <c r="E9">
        <v>1.682876E-3</v>
      </c>
      <c r="F9">
        <v>1.2921149999999999E-3</v>
      </c>
      <c r="G9">
        <v>7.4641450000000002E-3</v>
      </c>
      <c r="H9">
        <v>8.3791300000000003E-3</v>
      </c>
      <c r="I9">
        <v>6.4397730000000002E-3</v>
      </c>
      <c r="J9" s="4">
        <f t="shared" si="0"/>
        <v>7.4641091409360927E-3</v>
      </c>
      <c r="K9" s="4">
        <f t="shared" si="1"/>
        <v>8.3790781882836507E-3</v>
      </c>
      <c r="L9" s="4">
        <f t="shared" si="2"/>
        <v>6.4397503558605296E-3</v>
      </c>
      <c r="M9" s="3">
        <f t="shared" si="3"/>
        <v>0.99999519582431651</v>
      </c>
      <c r="N9" s="3">
        <f t="shared" si="4"/>
        <v>0.99999381657566477</v>
      </c>
      <c r="O9" s="3">
        <f t="shared" si="5"/>
        <v>0.99999648370533079</v>
      </c>
    </row>
    <row r="10" spans="1:15" x14ac:dyDescent="0.4">
      <c r="A10">
        <f t="shared" si="6"/>
        <v>30</v>
      </c>
      <c r="B10">
        <v>5</v>
      </c>
      <c r="C10" t="s">
        <v>12</v>
      </c>
      <c r="D10">
        <v>1.90733E-3</v>
      </c>
      <c r="E10">
        <v>2.3089500000000002E-3</v>
      </c>
      <c r="F10">
        <v>1.4644549999999999E-3</v>
      </c>
      <c r="G10">
        <v>9.4913900000000006E-3</v>
      </c>
      <c r="H10">
        <v>1.1478491E-2</v>
      </c>
      <c r="I10">
        <v>7.2955650000000004E-3</v>
      </c>
      <c r="J10" s="4">
        <f t="shared" si="0"/>
        <v>9.491320365453082E-3</v>
      </c>
      <c r="K10" s="4">
        <f t="shared" si="1"/>
        <v>1.14783650850524E-2</v>
      </c>
      <c r="L10" s="4">
        <f t="shared" si="2"/>
        <v>7.2955324563074297E-3</v>
      </c>
      <c r="M10" s="3">
        <f t="shared" si="3"/>
        <v>0.99999266339841497</v>
      </c>
      <c r="N10" s="3">
        <f t="shared" si="4"/>
        <v>0.99998903035707387</v>
      </c>
      <c r="O10" s="3">
        <f t="shared" si="5"/>
        <v>0.9999955392498634</v>
      </c>
    </row>
    <row r="11" spans="1:15" x14ac:dyDescent="0.4">
      <c r="A11">
        <f t="shared" si="6"/>
        <v>35</v>
      </c>
      <c r="B11">
        <v>5</v>
      </c>
      <c r="C11" t="s">
        <v>13</v>
      </c>
      <c r="D11">
        <v>2.5478020000000001E-3</v>
      </c>
      <c r="E11">
        <v>3.1896009999999998E-3</v>
      </c>
      <c r="F11">
        <v>1.8485839999999999E-3</v>
      </c>
      <c r="G11">
        <v>1.2658381E-2</v>
      </c>
      <c r="H11">
        <v>1.5821844000000002E-2</v>
      </c>
      <c r="I11">
        <v>9.2004029999999994E-3</v>
      </c>
      <c r="J11" s="4">
        <f t="shared" si="0"/>
        <v>1.265821227038566E-2</v>
      </c>
      <c r="K11" s="4">
        <f t="shared" si="1"/>
        <v>1.5821508914401261E-2</v>
      </c>
      <c r="L11" s="4">
        <f t="shared" si="2"/>
        <v>9.2003355175863666E-3</v>
      </c>
      <c r="M11" s="3">
        <f t="shared" si="3"/>
        <v>0.99998667052174051</v>
      </c>
      <c r="N11" s="3">
        <f t="shared" si="4"/>
        <v>0.99997882133089289</v>
      </c>
      <c r="O11" s="3">
        <f t="shared" si="5"/>
        <v>0.99999266527633268</v>
      </c>
    </row>
    <row r="12" spans="1:15" x14ac:dyDescent="0.4">
      <c r="A12">
        <f t="shared" si="6"/>
        <v>40</v>
      </c>
      <c r="B12">
        <v>5</v>
      </c>
      <c r="C12" t="s">
        <v>14</v>
      </c>
      <c r="D12">
        <v>3.3589570000000001E-3</v>
      </c>
      <c r="E12">
        <v>4.0587970000000003E-3</v>
      </c>
      <c r="F12">
        <v>2.611712E-3</v>
      </c>
      <c r="G12">
        <v>1.6654925000000001E-2</v>
      </c>
      <c r="H12">
        <v>2.0090131000000001E-2</v>
      </c>
      <c r="I12">
        <v>1.2973851999999999E-2</v>
      </c>
      <c r="J12" s="4">
        <f t="shared" si="0"/>
        <v>1.6654538830770393E-2</v>
      </c>
      <c r="K12" s="4">
        <f t="shared" si="1"/>
        <v>2.008944804646362E-2</v>
      </c>
      <c r="L12" s="4">
        <f t="shared" si="2"/>
        <v>1.2973666934201433E-2</v>
      </c>
      <c r="M12" s="3">
        <f t="shared" si="3"/>
        <v>0.99997681351134227</v>
      </c>
      <c r="N12" s="3">
        <f t="shared" si="4"/>
        <v>0.99996600552100035</v>
      </c>
      <c r="O12" s="3">
        <f t="shared" si="5"/>
        <v>0.99998573547790082</v>
      </c>
    </row>
    <row r="13" spans="1:15" x14ac:dyDescent="0.4">
      <c r="A13">
        <f t="shared" si="6"/>
        <v>45</v>
      </c>
      <c r="B13">
        <v>5</v>
      </c>
      <c r="C13" t="s">
        <v>15</v>
      </c>
      <c r="D13">
        <v>4.7905020000000003E-3</v>
      </c>
      <c r="E13">
        <v>5.9774629999999997E-3</v>
      </c>
      <c r="F13">
        <v>3.5395130000000002E-3</v>
      </c>
      <c r="G13">
        <v>2.3669042000000001E-2</v>
      </c>
      <c r="H13">
        <v>2.9447266999999999E-2</v>
      </c>
      <c r="I13">
        <v>1.7542335999999999E-2</v>
      </c>
      <c r="J13" s="4">
        <f t="shared" si="0"/>
        <v>2.3667925332808259E-2</v>
      </c>
      <c r="K13" s="4">
        <f t="shared" si="1"/>
        <v>2.9445105634997804E-2</v>
      </c>
      <c r="L13" s="4">
        <f t="shared" si="2"/>
        <v>1.7541882847722623E-2</v>
      </c>
      <c r="M13" s="3">
        <f t="shared" si="3"/>
        <v>0.99995282161433729</v>
      </c>
      <c r="N13" s="3">
        <f t="shared" si="4"/>
        <v>0.99992660218681084</v>
      </c>
      <c r="O13" s="3">
        <f t="shared" si="5"/>
        <v>0.99997416807673867</v>
      </c>
    </row>
    <row r="14" spans="1:15" x14ac:dyDescent="0.4">
      <c r="A14">
        <f t="shared" si="6"/>
        <v>50</v>
      </c>
      <c r="B14">
        <v>5</v>
      </c>
      <c r="C14" t="s">
        <v>16</v>
      </c>
      <c r="D14">
        <v>7.797099E-3</v>
      </c>
      <c r="E14">
        <v>8.6974249999999999E-3</v>
      </c>
      <c r="F14">
        <v>6.8547770000000003E-3</v>
      </c>
      <c r="G14">
        <v>3.8240088999999998E-2</v>
      </c>
      <c r="H14">
        <v>4.2561685000000002E-2</v>
      </c>
      <c r="I14">
        <v>3.3696431999999998E-2</v>
      </c>
      <c r="J14" s="4">
        <f t="shared" si="0"/>
        <v>3.8235340558422815E-2</v>
      </c>
      <c r="K14" s="4">
        <f t="shared" si="1"/>
        <v>4.2555118885544085E-2</v>
      </c>
      <c r="L14" s="4">
        <f t="shared" si="2"/>
        <v>3.3693188549639541E-2</v>
      </c>
      <c r="M14" s="3">
        <f t="shared" si="3"/>
        <v>0.99987582556156751</v>
      </c>
      <c r="N14" s="3">
        <f t="shared" si="4"/>
        <v>0.99984572710277053</v>
      </c>
      <c r="O14" s="3">
        <f t="shared" si="5"/>
        <v>0.99990374499114754</v>
      </c>
    </row>
    <row r="15" spans="1:15" x14ac:dyDescent="0.4">
      <c r="A15">
        <f t="shared" si="6"/>
        <v>55</v>
      </c>
      <c r="B15">
        <v>5</v>
      </c>
      <c r="C15" t="s">
        <v>17</v>
      </c>
      <c r="D15">
        <v>1.1786385E-2</v>
      </c>
      <c r="E15">
        <v>1.4084853E-2</v>
      </c>
      <c r="F15">
        <v>9.4026089999999993E-3</v>
      </c>
      <c r="G15">
        <v>5.724514E-2</v>
      </c>
      <c r="H15">
        <v>6.8028826000000001E-2</v>
      </c>
      <c r="I15">
        <v>4.5933310999999998E-2</v>
      </c>
      <c r="J15" s="4">
        <f t="shared" si="0"/>
        <v>5.7229053895191839E-2</v>
      </c>
      <c r="K15" s="4">
        <f t="shared" si="1"/>
        <v>6.8001678254108189E-2</v>
      </c>
      <c r="L15" s="4">
        <f t="shared" si="2"/>
        <v>4.5925048398551271E-2</v>
      </c>
      <c r="M15" s="3">
        <f t="shared" si="3"/>
        <v>0.99971899614870086</v>
      </c>
      <c r="N15" s="3">
        <f t="shared" si="4"/>
        <v>0.99960093761000945</v>
      </c>
      <c r="O15" s="3">
        <f t="shared" si="5"/>
        <v>0.99982011744268284</v>
      </c>
    </row>
    <row r="16" spans="1:15" x14ac:dyDescent="0.4">
      <c r="A16">
        <f t="shared" si="6"/>
        <v>60</v>
      </c>
      <c r="B16">
        <v>5</v>
      </c>
      <c r="C16" t="s">
        <v>18</v>
      </c>
      <c r="D16">
        <v>1.7562732000000001E-2</v>
      </c>
      <c r="E16">
        <v>1.9809436E-2</v>
      </c>
      <c r="F16">
        <v>1.5264842000000001E-2</v>
      </c>
      <c r="G16">
        <v>8.4120207000000002E-2</v>
      </c>
      <c r="H16">
        <v>9.4373468000000002E-2</v>
      </c>
      <c r="I16">
        <v>7.3518587999999996E-2</v>
      </c>
      <c r="J16" s="4">
        <f t="shared" si="0"/>
        <v>8.4068464495120843E-2</v>
      </c>
      <c r="K16" s="4">
        <f t="shared" si="1"/>
        <v>9.4300023909361874E-2</v>
      </c>
      <c r="L16" s="4">
        <f t="shared" si="2"/>
        <v>7.3484227818399916E-2</v>
      </c>
      <c r="M16" s="3">
        <f t="shared" si="3"/>
        <v>0.99938489803194186</v>
      </c>
      <c r="N16" s="3">
        <f t="shared" si="4"/>
        <v>0.99922177183699423</v>
      </c>
      <c r="O16" s="3">
        <f t="shared" si="5"/>
        <v>0.99953263273228155</v>
      </c>
    </row>
    <row r="17" spans="1:15" x14ac:dyDescent="0.4">
      <c r="A17">
        <f t="shared" si="6"/>
        <v>65</v>
      </c>
      <c r="B17">
        <v>5</v>
      </c>
      <c r="C17" t="s">
        <v>19</v>
      </c>
      <c r="D17">
        <v>2.6607314999999999E-2</v>
      </c>
      <c r="E17">
        <v>2.9694389000000002E-2</v>
      </c>
      <c r="F17">
        <v>2.3520396999999998E-2</v>
      </c>
      <c r="G17">
        <v>0.124739142</v>
      </c>
      <c r="H17">
        <v>0.13821166800000001</v>
      </c>
      <c r="I17">
        <v>0.111070905</v>
      </c>
      <c r="J17" s="4">
        <f t="shared" si="0"/>
        <v>0.12456692744141162</v>
      </c>
      <c r="K17" s="4">
        <f t="shared" si="1"/>
        <v>0.13797580908006413</v>
      </c>
      <c r="L17" s="4">
        <f t="shared" si="2"/>
        <v>0.11095016262485091</v>
      </c>
      <c r="M17" s="3">
        <f t="shared" si="3"/>
        <v>0.99861940241188785</v>
      </c>
      <c r="N17" s="3">
        <f t="shared" si="4"/>
        <v>0.998293494873849</v>
      </c>
      <c r="O17" s="3">
        <f t="shared" si="5"/>
        <v>0.99891292526022823</v>
      </c>
    </row>
    <row r="18" spans="1:15" x14ac:dyDescent="0.4">
      <c r="A18">
        <f t="shared" si="6"/>
        <v>70</v>
      </c>
      <c r="B18">
        <v>5</v>
      </c>
      <c r="C18" t="s">
        <v>20</v>
      </c>
      <c r="D18">
        <v>4.1230302000000003E-2</v>
      </c>
      <c r="E18">
        <v>4.4928562999999998E-2</v>
      </c>
      <c r="F18">
        <v>3.7806164000000003E-2</v>
      </c>
      <c r="G18">
        <v>0.186887897</v>
      </c>
      <c r="H18">
        <v>0.20195854499999999</v>
      </c>
      <c r="I18">
        <v>0.172707315</v>
      </c>
      <c r="J18" s="4">
        <f t="shared" si="0"/>
        <v>0.18629021822605552</v>
      </c>
      <c r="K18" s="4">
        <f t="shared" si="1"/>
        <v>0.2011985122811617</v>
      </c>
      <c r="L18" s="4">
        <f t="shared" si="2"/>
        <v>0.17223900529226099</v>
      </c>
      <c r="M18" s="3">
        <f t="shared" si="3"/>
        <v>0.9968019396465011</v>
      </c>
      <c r="N18" s="3">
        <f t="shared" si="4"/>
        <v>0.9962366894709096</v>
      </c>
      <c r="O18" s="3">
        <f t="shared" si="5"/>
        <v>0.99728841996218276</v>
      </c>
    </row>
    <row r="19" spans="1:15" x14ac:dyDescent="0.4">
      <c r="A19">
        <f t="shared" si="6"/>
        <v>75</v>
      </c>
      <c r="B19">
        <v>5</v>
      </c>
      <c r="C19" t="s">
        <v>21</v>
      </c>
      <c r="D19">
        <v>6.2868255999999997E-2</v>
      </c>
      <c r="E19">
        <v>6.8316935999999995E-2</v>
      </c>
      <c r="F19">
        <v>5.8071479000000002E-2</v>
      </c>
      <c r="G19">
        <v>0.27164643599999999</v>
      </c>
      <c r="H19">
        <v>0.29175513600000003</v>
      </c>
      <c r="I19">
        <v>0.253547672</v>
      </c>
      <c r="J19" s="4">
        <f t="shared" si="0"/>
        <v>0.2697302408368244</v>
      </c>
      <c r="K19" s="4">
        <f t="shared" si="1"/>
        <v>0.2893567122017302</v>
      </c>
      <c r="L19" s="4">
        <f t="shared" si="2"/>
        <v>0.25200381029656571</v>
      </c>
      <c r="M19" s="3">
        <f t="shared" si="3"/>
        <v>0.99294599556912433</v>
      </c>
      <c r="N19" s="3">
        <f t="shared" si="4"/>
        <v>0.99177932621460407</v>
      </c>
      <c r="O19" s="3">
        <f t="shared" si="5"/>
        <v>0.99391096084118535</v>
      </c>
    </row>
    <row r="20" spans="1:15" x14ac:dyDescent="0.4">
      <c r="A20">
        <f t="shared" si="6"/>
        <v>80</v>
      </c>
      <c r="B20">
        <v>5</v>
      </c>
      <c r="C20" t="s">
        <v>22</v>
      </c>
      <c r="D20">
        <v>0.10828625</v>
      </c>
      <c r="E20">
        <v>0.113038526</v>
      </c>
      <c r="F20">
        <v>0.10436274099999999</v>
      </c>
      <c r="G20">
        <v>0.42608372700000002</v>
      </c>
      <c r="H20">
        <v>0.44066291499999999</v>
      </c>
      <c r="I20">
        <v>0.41384001100000001</v>
      </c>
      <c r="J20" s="4">
        <f t="shared" si="0"/>
        <v>0.41808520947380856</v>
      </c>
      <c r="K20" s="4">
        <f t="shared" si="1"/>
        <v>0.43174932591333059</v>
      </c>
      <c r="L20" s="4">
        <f t="shared" si="2"/>
        <v>0.40655675966581972</v>
      </c>
      <c r="M20" s="3">
        <f t="shared" si="3"/>
        <v>0.98122782678768794</v>
      </c>
      <c r="N20" s="3">
        <f t="shared" si="4"/>
        <v>0.97977231851545898</v>
      </c>
      <c r="O20" s="3">
        <f t="shared" si="5"/>
        <v>0.98240080431908672</v>
      </c>
    </row>
    <row r="21" spans="1:15" x14ac:dyDescent="0.4">
      <c r="A21">
        <f t="shared" si="6"/>
        <v>85</v>
      </c>
      <c r="B21" t="s">
        <v>39</v>
      </c>
      <c r="C21" t="s">
        <v>23</v>
      </c>
      <c r="D21">
        <v>0.17864340400000001</v>
      </c>
      <c r="E21">
        <v>0.18579240999999999</v>
      </c>
      <c r="F21">
        <v>0.172897945</v>
      </c>
      <c r="G21">
        <v>1</v>
      </c>
      <c r="H21">
        <v>1</v>
      </c>
      <c r="I21">
        <v>1</v>
      </c>
      <c r="J21" s="4">
        <v>1</v>
      </c>
      <c r="K21" s="4">
        <v>1</v>
      </c>
      <c r="L21" s="4">
        <v>1</v>
      </c>
      <c r="M21" s="3">
        <f t="shared" si="3"/>
        <v>1</v>
      </c>
      <c r="N21" s="3">
        <f t="shared" si="4"/>
        <v>1</v>
      </c>
      <c r="O21" s="3">
        <f t="shared" si="5"/>
        <v>1</v>
      </c>
    </row>
    <row r="25" spans="1:15" x14ac:dyDescent="0.4">
      <c r="A25" t="s">
        <v>1</v>
      </c>
      <c r="B25" t="s">
        <v>37</v>
      </c>
      <c r="C25" t="s">
        <v>38</v>
      </c>
      <c r="D25" s="2" t="s">
        <v>40</v>
      </c>
      <c r="E25" s="2" t="s">
        <v>41</v>
      </c>
      <c r="F25" s="2" t="s">
        <v>44</v>
      </c>
      <c r="G25" s="2" t="s">
        <v>45</v>
      </c>
      <c r="H25" s="2" t="s">
        <v>46</v>
      </c>
      <c r="I25" s="2" t="s">
        <v>47</v>
      </c>
      <c r="J25" s="2" t="s">
        <v>48</v>
      </c>
      <c r="K25" s="2" t="s">
        <v>49</v>
      </c>
    </row>
    <row r="26" spans="1:15" x14ac:dyDescent="0.4">
      <c r="A26" t="s">
        <v>5</v>
      </c>
      <c r="B26">
        <v>0</v>
      </c>
      <c r="C26">
        <v>1</v>
      </c>
      <c r="D26">
        <v>2.8345842999999999E-2</v>
      </c>
      <c r="G26" s="7"/>
      <c r="H26" s="7"/>
    </row>
    <row r="27" spans="1:15" x14ac:dyDescent="0.4">
      <c r="A27" t="s">
        <v>6</v>
      </c>
      <c r="B27">
        <v>1</v>
      </c>
      <c r="C27">
        <v>4</v>
      </c>
      <c r="D27">
        <v>1.559223E-3</v>
      </c>
      <c r="G27" s="7"/>
      <c r="H27" s="7"/>
    </row>
    <row r="28" spans="1:15" x14ac:dyDescent="0.4">
      <c r="A28" t="s">
        <v>7</v>
      </c>
      <c r="B28">
        <v>5</v>
      </c>
      <c r="C28">
        <v>5</v>
      </c>
      <c r="D28">
        <v>5.58316E-4</v>
      </c>
      <c r="G28" s="7"/>
      <c r="H28" s="7"/>
    </row>
    <row r="29" spans="1:15" x14ac:dyDescent="0.4">
      <c r="A29" t="s">
        <v>8</v>
      </c>
      <c r="B29">
        <f>B28+5</f>
        <v>10</v>
      </c>
      <c r="C29">
        <v>5</v>
      </c>
      <c r="D29">
        <v>5.4242799999999996E-4</v>
      </c>
      <c r="G29" s="7"/>
      <c r="H29" s="7"/>
    </row>
    <row r="30" spans="1:15" x14ac:dyDescent="0.4">
      <c r="A30" t="s">
        <v>9</v>
      </c>
      <c r="B30">
        <f t="shared" ref="B30:B44" si="7">B29+5</f>
        <v>15</v>
      </c>
      <c r="C30">
        <v>5</v>
      </c>
      <c r="D30">
        <v>8.3872700000000005E-4</v>
      </c>
      <c r="G30" s="7"/>
      <c r="H30" s="7"/>
    </row>
    <row r="31" spans="1:15" x14ac:dyDescent="0.4">
      <c r="A31" t="s">
        <v>10</v>
      </c>
      <c r="B31">
        <f t="shared" si="7"/>
        <v>20</v>
      </c>
      <c r="C31">
        <v>5</v>
      </c>
      <c r="D31">
        <v>1.301223E-3</v>
      </c>
      <c r="G31" s="7"/>
      <c r="H31" s="7"/>
    </row>
    <row r="32" spans="1:15" x14ac:dyDescent="0.4">
      <c r="A32" t="s">
        <v>11</v>
      </c>
      <c r="B32">
        <f t="shared" si="7"/>
        <v>25</v>
      </c>
      <c r="C32">
        <v>5</v>
      </c>
      <c r="D32">
        <v>1.498421E-3</v>
      </c>
      <c r="G32" s="7"/>
      <c r="H32" s="7"/>
    </row>
    <row r="33" spans="1:8" x14ac:dyDescent="0.4">
      <c r="A33" t="s">
        <v>12</v>
      </c>
      <c r="B33">
        <f t="shared" si="7"/>
        <v>30</v>
      </c>
      <c r="C33">
        <v>5</v>
      </c>
      <c r="D33">
        <v>1.90733E-3</v>
      </c>
      <c r="G33" s="7"/>
      <c r="H33" s="7"/>
    </row>
    <row r="34" spans="1:8" x14ac:dyDescent="0.4">
      <c r="A34" t="s">
        <v>13</v>
      </c>
      <c r="B34">
        <f t="shared" si="7"/>
        <v>35</v>
      </c>
      <c r="C34">
        <v>5</v>
      </c>
      <c r="D34">
        <v>2.5478020000000001E-3</v>
      </c>
      <c r="G34" s="7"/>
      <c r="H34" s="7"/>
    </row>
    <row r="35" spans="1:8" x14ac:dyDescent="0.4">
      <c r="A35" t="s">
        <v>14</v>
      </c>
      <c r="B35">
        <f t="shared" si="7"/>
        <v>40</v>
      </c>
      <c r="C35">
        <v>5</v>
      </c>
      <c r="D35">
        <v>3.3589570000000001E-3</v>
      </c>
      <c r="G35" s="7"/>
      <c r="H35" s="7"/>
    </row>
    <row r="36" spans="1:8" x14ac:dyDescent="0.4">
      <c r="A36" t="s">
        <v>15</v>
      </c>
      <c r="B36">
        <f t="shared" si="7"/>
        <v>45</v>
      </c>
      <c r="C36">
        <v>5</v>
      </c>
      <c r="D36">
        <v>4.7905020000000003E-3</v>
      </c>
      <c r="G36" s="7"/>
      <c r="H36" s="7"/>
    </row>
    <row r="37" spans="1:8" x14ac:dyDescent="0.4">
      <c r="A37" t="s">
        <v>16</v>
      </c>
      <c r="B37">
        <f t="shared" si="7"/>
        <v>50</v>
      </c>
      <c r="C37">
        <v>5</v>
      </c>
      <c r="D37">
        <v>7.797099E-3</v>
      </c>
      <c r="G37" s="7"/>
      <c r="H37" s="7"/>
    </row>
    <row r="38" spans="1:8" x14ac:dyDescent="0.4">
      <c r="A38" t="s">
        <v>17</v>
      </c>
      <c r="B38">
        <f t="shared" si="7"/>
        <v>55</v>
      </c>
      <c r="C38">
        <v>5</v>
      </c>
      <c r="D38">
        <v>1.1786385E-2</v>
      </c>
      <c r="G38" s="7"/>
      <c r="H38" s="7"/>
    </row>
    <row r="39" spans="1:8" x14ac:dyDescent="0.4">
      <c r="A39" t="s">
        <v>18</v>
      </c>
      <c r="B39">
        <f t="shared" si="7"/>
        <v>60</v>
      </c>
      <c r="C39">
        <v>5</v>
      </c>
      <c r="D39">
        <v>1.7562732000000001E-2</v>
      </c>
      <c r="G39" s="7"/>
      <c r="H39" s="7"/>
    </row>
    <row r="40" spans="1:8" x14ac:dyDescent="0.4">
      <c r="A40" t="s">
        <v>19</v>
      </c>
      <c r="B40">
        <f t="shared" si="7"/>
        <v>65</v>
      </c>
      <c r="C40">
        <v>5</v>
      </c>
      <c r="D40">
        <v>2.6607314999999999E-2</v>
      </c>
      <c r="G40" s="7"/>
      <c r="H40" s="7"/>
    </row>
    <row r="41" spans="1:8" x14ac:dyDescent="0.4">
      <c r="A41" t="s">
        <v>20</v>
      </c>
      <c r="B41">
        <f t="shared" si="7"/>
        <v>70</v>
      </c>
      <c r="C41">
        <v>5</v>
      </c>
      <c r="D41">
        <v>4.1230302000000003E-2</v>
      </c>
      <c r="G41" s="7"/>
      <c r="H41" s="7"/>
    </row>
    <row r="42" spans="1:8" x14ac:dyDescent="0.4">
      <c r="A42" t="s">
        <v>21</v>
      </c>
      <c r="B42">
        <f t="shared" si="7"/>
        <v>75</v>
      </c>
      <c r="C42">
        <v>5</v>
      </c>
      <c r="D42">
        <v>6.2868255999999997E-2</v>
      </c>
      <c r="G42" s="7"/>
      <c r="H42" s="7"/>
    </row>
    <row r="43" spans="1:8" x14ac:dyDescent="0.4">
      <c r="A43" t="s">
        <v>22</v>
      </c>
      <c r="B43">
        <f t="shared" si="7"/>
        <v>80</v>
      </c>
      <c r="C43">
        <v>5</v>
      </c>
      <c r="D43">
        <v>0.10828625</v>
      </c>
      <c r="G43" s="7"/>
      <c r="H43" s="7"/>
    </row>
    <row r="44" spans="1:8" x14ac:dyDescent="0.4">
      <c r="A44" t="s">
        <v>23</v>
      </c>
      <c r="B44">
        <f t="shared" si="7"/>
        <v>85</v>
      </c>
      <c r="C44" t="s">
        <v>39</v>
      </c>
      <c r="D44">
        <v>0.17864340400000001</v>
      </c>
      <c r="G44" s="7"/>
      <c r="H44" s="7"/>
    </row>
  </sheetData>
  <mergeCells count="4">
    <mergeCell ref="M1:O1"/>
    <mergeCell ref="G1:I1"/>
    <mergeCell ref="D1:F1"/>
    <mergeCell ref="J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C61E-BFDB-436A-97C9-217BEAFDD45A}">
  <dimension ref="A1:O45"/>
  <sheetViews>
    <sheetView workbookViewId="0">
      <selection activeCell="B1" sqref="B1"/>
    </sheetView>
  </sheetViews>
  <sheetFormatPr defaultRowHeight="14.6" x14ac:dyDescent="0.4"/>
  <sheetData>
    <row r="1" spans="1:15" x14ac:dyDescent="0.4">
      <c r="A1" s="2" t="s">
        <v>51</v>
      </c>
    </row>
    <row r="2" spans="1:15" x14ac:dyDescent="0.4">
      <c r="A2" s="2" t="s">
        <v>50</v>
      </c>
    </row>
    <row r="3" spans="1:15" x14ac:dyDescent="0.4">
      <c r="B3" t="s">
        <v>0</v>
      </c>
      <c r="C3">
        <v>2019</v>
      </c>
      <c r="D3" s="8" t="s">
        <v>35</v>
      </c>
      <c r="E3" s="8"/>
      <c r="F3" s="8"/>
      <c r="G3" s="8" t="s">
        <v>36</v>
      </c>
      <c r="H3" s="8"/>
      <c r="I3" s="8"/>
      <c r="J3" s="8" t="s">
        <v>42</v>
      </c>
      <c r="K3" s="8"/>
      <c r="L3" s="8"/>
      <c r="M3" s="8" t="s">
        <v>43</v>
      </c>
      <c r="N3" s="8"/>
      <c r="O3" s="8"/>
    </row>
    <row r="4" spans="1:15" x14ac:dyDescent="0.4">
      <c r="A4" t="s">
        <v>37</v>
      </c>
      <c r="B4" t="s">
        <v>38</v>
      </c>
      <c r="C4" t="s">
        <v>1</v>
      </c>
      <c r="D4" t="s">
        <v>2</v>
      </c>
      <c r="E4" t="s">
        <v>3</v>
      </c>
      <c r="F4" t="s">
        <v>4</v>
      </c>
      <c r="G4" t="s">
        <v>2</v>
      </c>
      <c r="H4" t="s">
        <v>3</v>
      </c>
      <c r="I4" t="s">
        <v>4</v>
      </c>
    </row>
    <row r="5" spans="1:15" x14ac:dyDescent="0.4">
      <c r="A5">
        <v>0</v>
      </c>
      <c r="B5">
        <v>1</v>
      </c>
      <c r="C5" t="s">
        <v>5</v>
      </c>
      <c r="D5">
        <v>4.7802516000000003E-2</v>
      </c>
      <c r="E5">
        <v>5.1325889E-2</v>
      </c>
      <c r="F5">
        <v>4.4104237999999997E-2</v>
      </c>
      <c r="G5">
        <v>4.6254749999999997E-2</v>
      </c>
      <c r="H5">
        <v>4.9545802E-2</v>
      </c>
      <c r="I5">
        <v>4.2783387999999999E-2</v>
      </c>
    </row>
    <row r="6" spans="1:15" x14ac:dyDescent="0.4">
      <c r="A6">
        <v>1</v>
      </c>
      <c r="B6">
        <v>4</v>
      </c>
      <c r="C6" t="s">
        <v>6</v>
      </c>
      <c r="D6">
        <v>3.6085639999999999E-3</v>
      </c>
      <c r="E6">
        <v>3.668017E-3</v>
      </c>
      <c r="F6">
        <v>3.5459570000000002E-3</v>
      </c>
      <c r="G6">
        <v>1.4310323E-2</v>
      </c>
      <c r="H6">
        <v>1.4544032E-2</v>
      </c>
      <c r="I6">
        <v>1.4064138E-2</v>
      </c>
    </row>
    <row r="7" spans="1:15" x14ac:dyDescent="0.4">
      <c r="A7">
        <v>5</v>
      </c>
      <c r="B7">
        <v>5</v>
      </c>
      <c r="C7" t="s">
        <v>7</v>
      </c>
      <c r="D7">
        <v>4.6138100000000002E-4</v>
      </c>
      <c r="E7">
        <v>4.6899799999999998E-4</v>
      </c>
      <c r="F7">
        <v>4.53392E-4</v>
      </c>
      <c r="G7">
        <v>2.3042470000000002E-3</v>
      </c>
      <c r="H7">
        <v>2.3422450000000002E-3</v>
      </c>
      <c r="I7">
        <v>2.2643910000000001E-3</v>
      </c>
    </row>
    <row r="8" spans="1:15" x14ac:dyDescent="0.4">
      <c r="A8">
        <f>A7+5</f>
        <v>10</v>
      </c>
      <c r="B8">
        <v>5</v>
      </c>
      <c r="C8" t="s">
        <v>8</v>
      </c>
      <c r="D8">
        <v>3.6963000000000002E-4</v>
      </c>
      <c r="E8">
        <v>3.8656500000000001E-4</v>
      </c>
      <c r="F8">
        <v>3.5192699999999998E-4</v>
      </c>
      <c r="G8">
        <v>1.8464429999999999E-3</v>
      </c>
      <c r="H8">
        <v>1.930958E-3</v>
      </c>
      <c r="I8">
        <v>1.7580899999999999E-3</v>
      </c>
    </row>
    <row r="9" spans="1:15" x14ac:dyDescent="0.4">
      <c r="A9">
        <f t="shared" ref="A9:A23" si="0">A8+5</f>
        <v>15</v>
      </c>
      <c r="B9">
        <v>5</v>
      </c>
      <c r="C9" t="s">
        <v>9</v>
      </c>
      <c r="D9">
        <v>1.322929E-3</v>
      </c>
      <c r="E9">
        <v>1.457699E-3</v>
      </c>
      <c r="F9">
        <v>1.1805629999999999E-3</v>
      </c>
      <c r="G9">
        <v>6.5928419999999998E-3</v>
      </c>
      <c r="H9">
        <v>7.2620310000000004E-3</v>
      </c>
      <c r="I9">
        <v>5.8854459999999999E-3</v>
      </c>
    </row>
    <row r="10" spans="1:15" x14ac:dyDescent="0.4">
      <c r="A10">
        <f t="shared" si="0"/>
        <v>20</v>
      </c>
      <c r="B10">
        <v>5</v>
      </c>
      <c r="C10" t="s">
        <v>10</v>
      </c>
      <c r="D10">
        <v>2.0106360000000001E-3</v>
      </c>
      <c r="E10">
        <v>2.2178760000000001E-3</v>
      </c>
      <c r="F10">
        <v>1.791408E-3</v>
      </c>
      <c r="G10">
        <v>1.0002899000000001E-2</v>
      </c>
      <c r="H10">
        <v>1.1028232000000001E-2</v>
      </c>
      <c r="I10">
        <v>8.9171040000000003E-3</v>
      </c>
    </row>
    <row r="11" spans="1:15" x14ac:dyDescent="0.4">
      <c r="A11">
        <f t="shared" si="0"/>
        <v>25</v>
      </c>
      <c r="B11">
        <v>5</v>
      </c>
      <c r="C11" t="s">
        <v>11</v>
      </c>
      <c r="D11">
        <v>2.486303E-3</v>
      </c>
      <c r="E11">
        <v>2.5492409999999998E-3</v>
      </c>
      <c r="F11">
        <v>2.4181710000000002E-3</v>
      </c>
      <c r="G11">
        <v>1.2354723E-2</v>
      </c>
      <c r="H11">
        <v>1.2665488000000001E-2</v>
      </c>
      <c r="I11">
        <v>1.2018199E-2</v>
      </c>
    </row>
    <row r="12" spans="1:15" x14ac:dyDescent="0.4">
      <c r="A12">
        <f t="shared" si="0"/>
        <v>30</v>
      </c>
      <c r="B12">
        <v>5</v>
      </c>
      <c r="C12" t="s">
        <v>12</v>
      </c>
      <c r="D12">
        <v>3.1067130000000001E-3</v>
      </c>
      <c r="E12">
        <v>3.065215E-3</v>
      </c>
      <c r="F12">
        <v>3.1525070000000001E-3</v>
      </c>
      <c r="G12">
        <v>1.5413848000000001E-2</v>
      </c>
      <c r="H12">
        <v>1.5209525E-2</v>
      </c>
      <c r="I12">
        <v>1.5639276000000001E-2</v>
      </c>
    </row>
    <row r="13" spans="1:15" x14ac:dyDescent="0.4">
      <c r="A13">
        <f t="shared" si="0"/>
        <v>35</v>
      </c>
      <c r="B13">
        <v>5</v>
      </c>
      <c r="C13" t="s">
        <v>13</v>
      </c>
      <c r="D13">
        <v>4.3716969999999999E-3</v>
      </c>
      <c r="E13">
        <v>4.0815169999999998E-3</v>
      </c>
      <c r="F13">
        <v>4.6858799999999999E-3</v>
      </c>
      <c r="G13">
        <v>2.162217E-2</v>
      </c>
      <c r="H13">
        <v>2.0201454000000001E-2</v>
      </c>
      <c r="I13">
        <v>2.3158109999999999E-2</v>
      </c>
    </row>
    <row r="14" spans="1:15" x14ac:dyDescent="0.4">
      <c r="A14">
        <f t="shared" si="0"/>
        <v>40</v>
      </c>
      <c r="B14">
        <v>5</v>
      </c>
      <c r="C14" t="s">
        <v>14</v>
      </c>
      <c r="D14">
        <v>6.4829149999999997E-3</v>
      </c>
      <c r="E14">
        <v>6.0906809999999997E-3</v>
      </c>
      <c r="F14">
        <v>6.9143809999999998E-3</v>
      </c>
      <c r="G14">
        <v>3.1897600999999998E-2</v>
      </c>
      <c r="H14">
        <v>2.9996654000000001E-2</v>
      </c>
      <c r="I14">
        <v>3.3984449E-2</v>
      </c>
    </row>
    <row r="15" spans="1:15" x14ac:dyDescent="0.4">
      <c r="A15">
        <f t="shared" si="0"/>
        <v>45</v>
      </c>
      <c r="B15">
        <v>5</v>
      </c>
      <c r="C15" t="s">
        <v>15</v>
      </c>
      <c r="D15">
        <v>9.4458200000000006E-3</v>
      </c>
      <c r="E15">
        <v>8.8323229999999996E-3</v>
      </c>
      <c r="F15">
        <v>1.0105872E-2</v>
      </c>
      <c r="G15">
        <v>4.6139535000000002E-2</v>
      </c>
      <c r="H15">
        <v>4.3207557000000001E-2</v>
      </c>
      <c r="I15">
        <v>4.9284212000000001E-2</v>
      </c>
    </row>
    <row r="16" spans="1:15" x14ac:dyDescent="0.4">
      <c r="A16">
        <f t="shared" si="0"/>
        <v>50</v>
      </c>
      <c r="B16">
        <v>5</v>
      </c>
      <c r="C16" t="s">
        <v>16</v>
      </c>
      <c r="D16">
        <v>1.4107692E-2</v>
      </c>
      <c r="E16">
        <v>1.3405175E-2</v>
      </c>
      <c r="F16">
        <v>1.4846655E-2</v>
      </c>
      <c r="G16">
        <v>6.8135378999999996E-2</v>
      </c>
      <c r="H16">
        <v>6.4852479000000005E-2</v>
      </c>
      <c r="I16">
        <v>7.1576593999999993E-2</v>
      </c>
    </row>
    <row r="17" spans="1:11" x14ac:dyDescent="0.4">
      <c r="A17">
        <f t="shared" si="0"/>
        <v>55</v>
      </c>
      <c r="B17">
        <v>5</v>
      </c>
      <c r="C17" t="s">
        <v>17</v>
      </c>
      <c r="D17">
        <v>2.0835200000000002E-2</v>
      </c>
      <c r="E17">
        <v>1.9765525999999999E-2</v>
      </c>
      <c r="F17">
        <v>2.1944426E-2</v>
      </c>
      <c r="G17">
        <v>9.9018332000000001E-2</v>
      </c>
      <c r="H17">
        <v>9.4174128999999995E-2</v>
      </c>
      <c r="I17">
        <v>0.10401571900000001</v>
      </c>
    </row>
    <row r="18" spans="1:11" x14ac:dyDescent="0.4">
      <c r="A18">
        <f t="shared" si="0"/>
        <v>60</v>
      </c>
      <c r="B18">
        <v>5</v>
      </c>
      <c r="C18" t="s">
        <v>18</v>
      </c>
      <c r="D18">
        <v>3.0681915000000001E-2</v>
      </c>
      <c r="E18">
        <v>3.0054531999999998E-2</v>
      </c>
      <c r="F18">
        <v>3.1303057000000002E-2</v>
      </c>
      <c r="G18">
        <v>0.14248063</v>
      </c>
      <c r="H18">
        <v>0.139770796</v>
      </c>
      <c r="I18">
        <v>0.14515573900000001</v>
      </c>
    </row>
    <row r="19" spans="1:11" x14ac:dyDescent="0.4">
      <c r="A19">
        <f t="shared" si="0"/>
        <v>65</v>
      </c>
      <c r="B19">
        <v>5</v>
      </c>
      <c r="C19" t="s">
        <v>19</v>
      </c>
      <c r="D19">
        <v>4.3881399000000001E-2</v>
      </c>
      <c r="E19">
        <v>4.3554478000000001E-2</v>
      </c>
      <c r="F19">
        <v>4.4185110999999999E-2</v>
      </c>
      <c r="G19">
        <v>0.19771677200000001</v>
      </c>
      <c r="H19">
        <v>0.19638840599999999</v>
      </c>
      <c r="I19">
        <v>0.198949086</v>
      </c>
    </row>
    <row r="20" spans="1:11" x14ac:dyDescent="0.4">
      <c r="A20">
        <f t="shared" si="0"/>
        <v>70</v>
      </c>
      <c r="B20">
        <v>5</v>
      </c>
      <c r="C20" t="s">
        <v>20</v>
      </c>
      <c r="D20">
        <v>6.4737070999999993E-2</v>
      </c>
      <c r="E20">
        <v>6.3182848999999999E-2</v>
      </c>
      <c r="F20">
        <v>6.6005128999999996E-2</v>
      </c>
      <c r="G20">
        <v>0.27859654499999997</v>
      </c>
      <c r="H20">
        <v>0.272820332</v>
      </c>
      <c r="I20">
        <v>0.28328069700000003</v>
      </c>
    </row>
    <row r="21" spans="1:11" x14ac:dyDescent="0.4">
      <c r="A21">
        <f t="shared" si="0"/>
        <v>75</v>
      </c>
      <c r="B21">
        <v>5</v>
      </c>
      <c r="C21" t="s">
        <v>21</v>
      </c>
      <c r="D21">
        <v>9.4998040000000006E-2</v>
      </c>
      <c r="E21">
        <v>9.1218707999999996E-2</v>
      </c>
      <c r="F21">
        <v>9.8262877999999998E-2</v>
      </c>
      <c r="G21">
        <v>0.38383198299999999</v>
      </c>
      <c r="H21">
        <v>0.371397533</v>
      </c>
      <c r="I21">
        <v>0.39442182999999997</v>
      </c>
    </row>
    <row r="22" spans="1:11" x14ac:dyDescent="0.4">
      <c r="A22">
        <f t="shared" si="0"/>
        <v>80</v>
      </c>
      <c r="B22">
        <v>5</v>
      </c>
      <c r="C22" t="s">
        <v>22</v>
      </c>
      <c r="D22">
        <v>0.1405178</v>
      </c>
      <c r="E22">
        <v>0.13520686700000001</v>
      </c>
      <c r="F22">
        <v>0.14467101499999999</v>
      </c>
      <c r="G22">
        <v>0.51993773399999998</v>
      </c>
      <c r="H22">
        <v>0.50525086900000005</v>
      </c>
      <c r="I22">
        <v>0.53122347700000005</v>
      </c>
    </row>
    <row r="23" spans="1:11" x14ac:dyDescent="0.4">
      <c r="A23">
        <f t="shared" si="0"/>
        <v>85</v>
      </c>
      <c r="B23" t="s">
        <v>39</v>
      </c>
      <c r="C23" t="s">
        <v>23</v>
      </c>
      <c r="D23">
        <v>0.23508720599999999</v>
      </c>
      <c r="E23">
        <v>0.23256916899999999</v>
      </c>
      <c r="F23">
        <v>0.23689687000000001</v>
      </c>
      <c r="G23">
        <v>1</v>
      </c>
      <c r="H23">
        <v>1</v>
      </c>
      <c r="I23">
        <v>1</v>
      </c>
    </row>
    <row r="26" spans="1:11" x14ac:dyDescent="0.4">
      <c r="A26" t="s">
        <v>1</v>
      </c>
      <c r="B26" t="s">
        <v>37</v>
      </c>
      <c r="C26" t="s">
        <v>38</v>
      </c>
      <c r="D26" s="2" t="s">
        <v>40</v>
      </c>
      <c r="E26" s="2" t="s">
        <v>41</v>
      </c>
      <c r="F26" s="2" t="s">
        <v>44</v>
      </c>
      <c r="G26" s="2" t="s">
        <v>45</v>
      </c>
      <c r="H26" s="2" t="s">
        <v>46</v>
      </c>
      <c r="I26" s="2" t="s">
        <v>47</v>
      </c>
      <c r="J26" s="2" t="s">
        <v>48</v>
      </c>
      <c r="K26" s="2" t="s">
        <v>49</v>
      </c>
    </row>
    <row r="27" spans="1:11" x14ac:dyDescent="0.4">
      <c r="A27" t="s">
        <v>5</v>
      </c>
      <c r="B27">
        <v>0</v>
      </c>
      <c r="C27">
        <v>1</v>
      </c>
      <c r="G27" s="7"/>
      <c r="H27" s="7"/>
    </row>
    <row r="28" spans="1:11" x14ac:dyDescent="0.4">
      <c r="A28" t="s">
        <v>6</v>
      </c>
      <c r="B28">
        <v>1</v>
      </c>
      <c r="C28">
        <v>4</v>
      </c>
      <c r="G28" s="7"/>
      <c r="H28" s="7"/>
    </row>
    <row r="29" spans="1:11" x14ac:dyDescent="0.4">
      <c r="A29" t="s">
        <v>7</v>
      </c>
      <c r="B29">
        <v>5</v>
      </c>
      <c r="C29">
        <v>5</v>
      </c>
      <c r="G29" s="7"/>
      <c r="H29" s="7"/>
    </row>
    <row r="30" spans="1:11" x14ac:dyDescent="0.4">
      <c r="A30" t="s">
        <v>8</v>
      </c>
      <c r="B30">
        <f>B29+5</f>
        <v>10</v>
      </c>
      <c r="C30">
        <v>5</v>
      </c>
      <c r="G30" s="7"/>
      <c r="H30" s="7"/>
    </row>
    <row r="31" spans="1:11" x14ac:dyDescent="0.4">
      <c r="A31" t="s">
        <v>9</v>
      </c>
      <c r="B31">
        <f t="shared" ref="B31:B45" si="1">B30+5</f>
        <v>15</v>
      </c>
      <c r="C31">
        <v>5</v>
      </c>
      <c r="G31" s="7"/>
      <c r="H31" s="7"/>
    </row>
    <row r="32" spans="1:11" x14ac:dyDescent="0.4">
      <c r="A32" t="s">
        <v>10</v>
      </c>
      <c r="B32">
        <f t="shared" si="1"/>
        <v>20</v>
      </c>
      <c r="C32">
        <v>5</v>
      </c>
      <c r="G32" s="7"/>
      <c r="H32" s="7"/>
    </row>
    <row r="33" spans="1:8" x14ac:dyDescent="0.4">
      <c r="A33" t="s">
        <v>11</v>
      </c>
      <c r="B33">
        <f t="shared" si="1"/>
        <v>25</v>
      </c>
      <c r="C33">
        <v>5</v>
      </c>
      <c r="G33" s="7"/>
      <c r="H33" s="7"/>
    </row>
    <row r="34" spans="1:8" x14ac:dyDescent="0.4">
      <c r="A34" t="s">
        <v>12</v>
      </c>
      <c r="B34">
        <f t="shared" si="1"/>
        <v>30</v>
      </c>
      <c r="C34">
        <v>5</v>
      </c>
      <c r="G34" s="7"/>
      <c r="H34" s="7"/>
    </row>
    <row r="35" spans="1:8" x14ac:dyDescent="0.4">
      <c r="A35" t="s">
        <v>13</v>
      </c>
      <c r="B35">
        <f t="shared" si="1"/>
        <v>35</v>
      </c>
      <c r="C35">
        <v>5</v>
      </c>
      <c r="G35" s="7"/>
      <c r="H35" s="7"/>
    </row>
    <row r="36" spans="1:8" x14ac:dyDescent="0.4">
      <c r="A36" t="s">
        <v>14</v>
      </c>
      <c r="B36">
        <f t="shared" si="1"/>
        <v>40</v>
      </c>
      <c r="C36">
        <v>5</v>
      </c>
      <c r="G36" s="7"/>
      <c r="H36" s="7"/>
    </row>
    <row r="37" spans="1:8" x14ac:dyDescent="0.4">
      <c r="A37" t="s">
        <v>15</v>
      </c>
      <c r="B37">
        <f t="shared" si="1"/>
        <v>45</v>
      </c>
      <c r="C37">
        <v>5</v>
      </c>
      <c r="G37" s="7"/>
      <c r="H37" s="7"/>
    </row>
    <row r="38" spans="1:8" x14ac:dyDescent="0.4">
      <c r="A38" t="s">
        <v>16</v>
      </c>
      <c r="B38">
        <f t="shared" si="1"/>
        <v>50</v>
      </c>
      <c r="C38">
        <v>5</v>
      </c>
      <c r="G38" s="7"/>
      <c r="H38" s="7"/>
    </row>
    <row r="39" spans="1:8" x14ac:dyDescent="0.4">
      <c r="A39" t="s">
        <v>17</v>
      </c>
      <c r="B39">
        <f t="shared" si="1"/>
        <v>55</v>
      </c>
      <c r="C39">
        <v>5</v>
      </c>
      <c r="G39" s="7"/>
      <c r="H39" s="7"/>
    </row>
    <row r="40" spans="1:8" x14ac:dyDescent="0.4">
      <c r="A40" t="s">
        <v>18</v>
      </c>
      <c r="B40">
        <f t="shared" si="1"/>
        <v>60</v>
      </c>
      <c r="C40">
        <v>5</v>
      </c>
      <c r="G40" s="7"/>
      <c r="H40" s="7"/>
    </row>
    <row r="41" spans="1:8" x14ac:dyDescent="0.4">
      <c r="A41" t="s">
        <v>19</v>
      </c>
      <c r="B41">
        <f t="shared" si="1"/>
        <v>65</v>
      </c>
      <c r="C41">
        <v>5</v>
      </c>
      <c r="G41" s="7"/>
      <c r="H41" s="7"/>
    </row>
    <row r="42" spans="1:8" x14ac:dyDescent="0.4">
      <c r="A42" t="s">
        <v>20</v>
      </c>
      <c r="B42">
        <f t="shared" si="1"/>
        <v>70</v>
      </c>
      <c r="C42">
        <v>5</v>
      </c>
      <c r="G42" s="7"/>
      <c r="H42" s="7"/>
    </row>
    <row r="43" spans="1:8" x14ac:dyDescent="0.4">
      <c r="A43" t="s">
        <v>21</v>
      </c>
      <c r="B43">
        <f t="shared" si="1"/>
        <v>75</v>
      </c>
      <c r="C43">
        <v>5</v>
      </c>
      <c r="G43" s="7"/>
      <c r="H43" s="7"/>
    </row>
    <row r="44" spans="1:8" x14ac:dyDescent="0.4">
      <c r="A44" t="s">
        <v>22</v>
      </c>
      <c r="B44">
        <f t="shared" si="1"/>
        <v>80</v>
      </c>
      <c r="C44">
        <v>5</v>
      </c>
      <c r="G44" s="7"/>
      <c r="H44" s="7"/>
    </row>
    <row r="45" spans="1:8" x14ac:dyDescent="0.4">
      <c r="A45" t="s">
        <v>23</v>
      </c>
      <c r="B45">
        <f t="shared" si="1"/>
        <v>85</v>
      </c>
      <c r="C45" t="s">
        <v>39</v>
      </c>
      <c r="G45" s="7"/>
      <c r="H45" s="7"/>
    </row>
  </sheetData>
  <mergeCells count="4">
    <mergeCell ref="D3:F3"/>
    <mergeCell ref="J3:L3"/>
    <mergeCell ref="M3:O3"/>
    <mergeCell ref="G3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BEF7-AEA8-4FA2-AF87-376DF1A45DB9}">
  <dimension ref="A1:AI43"/>
  <sheetViews>
    <sheetView topLeftCell="V23" zoomScale="140" zoomScaleNormal="140" workbookViewId="0">
      <selection activeCell="AI25" sqref="AI25"/>
    </sheetView>
  </sheetViews>
  <sheetFormatPr defaultRowHeight="14.6" x14ac:dyDescent="0.4"/>
  <sheetData>
    <row r="1" spans="1:15" x14ac:dyDescent="0.4">
      <c r="A1" t="s">
        <v>24</v>
      </c>
      <c r="C1" s="8" t="s">
        <v>35</v>
      </c>
      <c r="D1" s="8"/>
      <c r="E1" s="8"/>
      <c r="F1" s="8" t="s">
        <v>36</v>
      </c>
      <c r="G1" s="8"/>
      <c r="H1" s="8"/>
      <c r="J1" s="8" t="s">
        <v>42</v>
      </c>
      <c r="K1" s="8"/>
      <c r="L1" s="8"/>
      <c r="M1" s="8" t="s">
        <v>43</v>
      </c>
      <c r="N1" s="8"/>
      <c r="O1" s="8"/>
    </row>
    <row r="2" spans="1:15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  <c r="J2" t="s">
        <v>2</v>
      </c>
      <c r="K2" t="s">
        <v>3</v>
      </c>
      <c r="L2" t="s">
        <v>4</v>
      </c>
      <c r="M2" t="s">
        <v>2</v>
      </c>
      <c r="N2" t="s">
        <v>3</v>
      </c>
      <c r="O2" t="s">
        <v>4</v>
      </c>
    </row>
    <row r="3" spans="1:15" x14ac:dyDescent="0.4">
      <c r="A3">
        <v>0</v>
      </c>
      <c r="B3">
        <v>1</v>
      </c>
      <c r="C3" t="s">
        <v>5</v>
      </c>
      <c r="D3">
        <v>2.5907204999999999E-2</v>
      </c>
      <c r="E3">
        <v>2.7709424E-2</v>
      </c>
      <c r="F3">
        <v>2.402284E-2</v>
      </c>
      <c r="G3">
        <v>2.5445744999999999E-2</v>
      </c>
      <c r="H3">
        <v>2.7182182999999999E-2</v>
      </c>
      <c r="I3">
        <v>2.3625553000000001E-2</v>
      </c>
      <c r="J3" s="4">
        <f>1-EXP(-B3*D3)</f>
        <v>2.5574492771523794E-2</v>
      </c>
      <c r="K3" s="4">
        <f>1-EXP(-B3*E3)</f>
        <v>2.7329039421185142E-2</v>
      </c>
      <c r="L3" s="6">
        <f>1-EXP(-B3*F3)</f>
        <v>2.3736588353056143E-2</v>
      </c>
      <c r="M3" s="3">
        <f>J3/G3</f>
        <v>1.0050596974670538</v>
      </c>
      <c r="N3" s="3">
        <f>K3/H3</f>
        <v>1.0054026720806473</v>
      </c>
      <c r="O3" s="3">
        <f>L3/I3</f>
        <v>1.004699799113957</v>
      </c>
    </row>
    <row r="4" spans="1:15" x14ac:dyDescent="0.4">
      <c r="A4">
        <v>1</v>
      </c>
      <c r="B4">
        <v>4</v>
      </c>
      <c r="C4" t="s">
        <v>6</v>
      </c>
      <c r="D4">
        <v>1.3297230000000001E-3</v>
      </c>
      <c r="E4">
        <v>1.424914E-3</v>
      </c>
      <c r="F4">
        <v>1.2303170000000001E-3</v>
      </c>
      <c r="G4">
        <v>5.3019720000000003E-3</v>
      </c>
      <c r="H4">
        <v>5.6802320000000003E-3</v>
      </c>
      <c r="I4">
        <v>4.9067809999999998E-3</v>
      </c>
      <c r="J4" s="4">
        <f t="shared" ref="J4:J20" si="0">1-EXP(-B4*D4)</f>
        <v>5.3047717397517458E-3</v>
      </c>
      <c r="K4" s="4">
        <f t="shared" ref="K4:K20" si="1">1-EXP(-B4*E4)</f>
        <v>5.6834437767302459E-3</v>
      </c>
      <c r="L4" s="6">
        <f t="shared" ref="L4:L20" si="2">1-EXP(-B4*F4)</f>
        <v>4.9091784008191697E-3</v>
      </c>
      <c r="M4" s="3">
        <f t="shared" ref="M4:M21" si="3">J4/G4</f>
        <v>1.0005280563065488</v>
      </c>
      <c r="N4" s="3">
        <f t="shared" ref="N4:N21" si="4">K4/H4</f>
        <v>1.0005654305546403</v>
      </c>
      <c r="O4" s="3">
        <f t="shared" ref="O4:O21" si="5">L4/I4</f>
        <v>1.0004885893255007</v>
      </c>
    </row>
    <row r="5" spans="1:15" x14ac:dyDescent="0.4">
      <c r="A5">
        <v>5</v>
      </c>
      <c r="B5">
        <v>5</v>
      </c>
      <c r="C5" t="s">
        <v>7</v>
      </c>
      <c r="D5">
        <v>7.1463699999999995E-4</v>
      </c>
      <c r="E5">
        <v>7.6582600000000005E-4</v>
      </c>
      <c r="F5">
        <v>6.6123899999999999E-4</v>
      </c>
      <c r="G5">
        <v>3.5668140000000002E-3</v>
      </c>
      <c r="H5">
        <v>3.8218100000000001E-3</v>
      </c>
      <c r="I5">
        <v>3.3007359999999999E-3</v>
      </c>
      <c r="J5" s="4">
        <f t="shared" si="0"/>
        <v>3.5668087712203977E-3</v>
      </c>
      <c r="K5" s="4">
        <f t="shared" si="1"/>
        <v>3.821808230039192E-3</v>
      </c>
      <c r="L5" s="6">
        <f t="shared" si="2"/>
        <v>3.3007355556308182E-3</v>
      </c>
      <c r="M5" s="3">
        <f t="shared" si="3"/>
        <v>0.99999853404758354</v>
      </c>
      <c r="N5" s="3">
        <f t="shared" si="4"/>
        <v>0.9999995368789113</v>
      </c>
      <c r="O5" s="3">
        <f t="shared" si="5"/>
        <v>0.99999986537269825</v>
      </c>
    </row>
    <row r="6" spans="1:15" x14ac:dyDescent="0.4">
      <c r="A6">
        <f>A5+5</f>
        <v>10</v>
      </c>
      <c r="B6">
        <v>5</v>
      </c>
      <c r="C6" t="s">
        <v>8</v>
      </c>
      <c r="D6">
        <v>6.6755899999999997E-4</v>
      </c>
      <c r="E6">
        <v>7.9780699999999999E-4</v>
      </c>
      <c r="F6">
        <v>5.3151200000000004E-4</v>
      </c>
      <c r="G6">
        <v>3.332233E-3</v>
      </c>
      <c r="H6">
        <v>3.9810940000000001E-3</v>
      </c>
      <c r="I6">
        <v>2.6540349999999999E-3</v>
      </c>
      <c r="J6" s="4">
        <f t="shared" si="0"/>
        <v>3.3322307547605234E-3</v>
      </c>
      <c r="K6" s="4">
        <f t="shared" si="1"/>
        <v>3.9810893685294779E-3</v>
      </c>
      <c r="L6" s="6">
        <f t="shared" si="2"/>
        <v>2.654031813570934E-3</v>
      </c>
      <c r="M6" s="3">
        <f t="shared" si="3"/>
        <v>0.9999993262057375</v>
      </c>
      <c r="N6" s="3">
        <f t="shared" si="4"/>
        <v>0.99999883663371869</v>
      </c>
      <c r="O6" s="3">
        <f t="shared" si="5"/>
        <v>0.99999879940201775</v>
      </c>
    </row>
    <row r="7" spans="1:15" x14ac:dyDescent="0.4">
      <c r="A7">
        <f t="shared" ref="A7:A21" si="6">A6+5</f>
        <v>15</v>
      </c>
      <c r="B7">
        <v>5</v>
      </c>
      <c r="C7" t="s">
        <v>9</v>
      </c>
      <c r="D7">
        <v>6.5986500000000004E-4</v>
      </c>
      <c r="E7">
        <v>6.9038300000000003E-4</v>
      </c>
      <c r="F7">
        <v>6.2793699999999996E-4</v>
      </c>
      <c r="G7">
        <v>3.2938920000000001E-3</v>
      </c>
      <c r="H7">
        <v>3.4459669999999999E-3</v>
      </c>
      <c r="I7">
        <v>3.1347620000000001E-3</v>
      </c>
      <c r="J7" s="4">
        <f t="shared" si="0"/>
        <v>3.2938882081635645E-3</v>
      </c>
      <c r="K7" s="4">
        <f t="shared" si="1"/>
        <v>3.445963990844958E-3</v>
      </c>
      <c r="L7" s="6">
        <f t="shared" si="2"/>
        <v>3.1347613433087007E-3</v>
      </c>
      <c r="M7" s="3">
        <f t="shared" si="3"/>
        <v>0.9999988488279411</v>
      </c>
      <c r="N7" s="3">
        <f t="shared" si="4"/>
        <v>0.99999912676034275</v>
      </c>
      <c r="O7" s="3">
        <f t="shared" si="5"/>
        <v>0.99999979051318744</v>
      </c>
    </row>
    <row r="8" spans="1:15" x14ac:dyDescent="0.4">
      <c r="A8">
        <f t="shared" si="6"/>
        <v>20</v>
      </c>
      <c r="B8">
        <v>5</v>
      </c>
      <c r="C8" t="s">
        <v>10</v>
      </c>
      <c r="D8">
        <v>7.4759999999999996E-4</v>
      </c>
      <c r="E8">
        <v>8.2127800000000005E-4</v>
      </c>
      <c r="F8">
        <v>6.7167300000000002E-4</v>
      </c>
      <c r="G8">
        <v>3.7310249999999998E-3</v>
      </c>
      <c r="H8">
        <v>4.0979780000000004E-3</v>
      </c>
      <c r="I8">
        <v>3.3527349999999999E-3</v>
      </c>
      <c r="J8" s="4">
        <f t="shared" si="0"/>
        <v>3.7310223748284743E-3</v>
      </c>
      <c r="K8" s="4">
        <f t="shared" si="1"/>
        <v>4.0979703093710906E-3</v>
      </c>
      <c r="L8" s="6">
        <f t="shared" si="2"/>
        <v>3.3527319999179239E-3</v>
      </c>
      <c r="M8" s="3">
        <f t="shared" si="3"/>
        <v>0.99999929639401364</v>
      </c>
      <c r="N8" s="3">
        <f t="shared" si="4"/>
        <v>0.99999812331132332</v>
      </c>
      <c r="O8" s="3">
        <f t="shared" si="5"/>
        <v>0.99999910518365576</v>
      </c>
    </row>
    <row r="9" spans="1:15" x14ac:dyDescent="0.4">
      <c r="A9">
        <f t="shared" si="6"/>
        <v>25</v>
      </c>
      <c r="B9">
        <v>5</v>
      </c>
      <c r="C9" t="s">
        <v>11</v>
      </c>
      <c r="D9">
        <v>8.7164199999999995E-4</v>
      </c>
      <c r="E9">
        <v>9.9916200000000005E-4</v>
      </c>
      <c r="F9">
        <v>7.4453900000000001E-4</v>
      </c>
      <c r="G9">
        <v>4.3487339999999999E-3</v>
      </c>
      <c r="H9">
        <v>4.9833630000000002E-3</v>
      </c>
      <c r="I9">
        <v>3.715781E-3</v>
      </c>
      <c r="J9" s="4">
        <f t="shared" si="0"/>
        <v>4.3487267844148914E-3</v>
      </c>
      <c r="K9" s="4">
        <f t="shared" si="1"/>
        <v>4.9833516962956015E-3</v>
      </c>
      <c r="L9" s="6">
        <f t="shared" si="2"/>
        <v>3.7157743614408822E-3</v>
      </c>
      <c r="M9" s="3">
        <f t="shared" si="3"/>
        <v>0.99999834076190708</v>
      </c>
      <c r="N9" s="3">
        <f t="shared" si="4"/>
        <v>0.99999773171161754</v>
      </c>
      <c r="O9" s="3">
        <f t="shared" si="5"/>
        <v>0.99999821341486006</v>
      </c>
    </row>
    <row r="10" spans="1:15" x14ac:dyDescent="0.4">
      <c r="A10">
        <f t="shared" si="6"/>
        <v>30</v>
      </c>
      <c r="B10">
        <v>5</v>
      </c>
      <c r="C10" t="s">
        <v>12</v>
      </c>
      <c r="D10">
        <v>9.8182299999999994E-4</v>
      </c>
      <c r="E10">
        <v>1.2036589999999999E-3</v>
      </c>
      <c r="F10">
        <v>7.6666600000000005E-4</v>
      </c>
      <c r="G10">
        <v>4.8970970000000004E-3</v>
      </c>
      <c r="H10">
        <v>6.0002420000000002E-3</v>
      </c>
      <c r="I10">
        <v>3.8259959999999999E-3</v>
      </c>
      <c r="J10" s="4">
        <f t="shared" si="0"/>
        <v>4.8970849885787704E-3</v>
      </c>
      <c r="K10" s="4">
        <f t="shared" si="1"/>
        <v>6.0002213383657521E-3</v>
      </c>
      <c r="L10" s="6">
        <f t="shared" si="2"/>
        <v>3.8259921696582877E-3</v>
      </c>
      <c r="M10" s="3">
        <f t="shared" si="3"/>
        <v>0.99999754723640766</v>
      </c>
      <c r="N10" s="3">
        <f t="shared" si="4"/>
        <v>0.99999655653317843</v>
      </c>
      <c r="O10" s="3">
        <f t="shared" si="5"/>
        <v>0.99999899886416188</v>
      </c>
    </row>
    <row r="11" spans="1:15" x14ac:dyDescent="0.4">
      <c r="A11">
        <f t="shared" si="6"/>
        <v>35</v>
      </c>
      <c r="B11">
        <v>5</v>
      </c>
      <c r="C11" t="s">
        <v>13</v>
      </c>
      <c r="D11">
        <v>1.3308490000000001E-3</v>
      </c>
      <c r="E11">
        <v>1.531267E-3</v>
      </c>
      <c r="F11">
        <v>1.136441E-3</v>
      </c>
      <c r="G11">
        <v>6.632181E-3</v>
      </c>
      <c r="H11">
        <v>7.6271380000000003E-3</v>
      </c>
      <c r="I11">
        <v>5.6661080000000004E-3</v>
      </c>
      <c r="J11" s="4">
        <f t="shared" si="0"/>
        <v>6.6321545373487778E-3</v>
      </c>
      <c r="K11" s="4">
        <f t="shared" si="1"/>
        <v>7.6270999259371308E-3</v>
      </c>
      <c r="L11" s="6">
        <f t="shared" si="2"/>
        <v>5.6660918071034239E-3</v>
      </c>
      <c r="M11" s="3">
        <f t="shared" si="3"/>
        <v>0.99999600996245097</v>
      </c>
      <c r="N11" s="3">
        <f t="shared" si="4"/>
        <v>0.9999950080799811</v>
      </c>
      <c r="O11" s="3">
        <f t="shared" si="5"/>
        <v>0.99999714214826529</v>
      </c>
    </row>
    <row r="12" spans="1:15" x14ac:dyDescent="0.4">
      <c r="A12">
        <f t="shared" si="6"/>
        <v>40</v>
      </c>
      <c r="B12">
        <v>5</v>
      </c>
      <c r="C12" t="s">
        <v>14</v>
      </c>
      <c r="D12">
        <v>2.0699440000000002E-3</v>
      </c>
      <c r="E12">
        <v>2.3681010000000001E-3</v>
      </c>
      <c r="F12">
        <v>1.7771740000000001E-3</v>
      </c>
      <c r="G12">
        <v>1.0296438999999999E-2</v>
      </c>
      <c r="H12">
        <v>1.1770816999999999E-2</v>
      </c>
      <c r="I12">
        <v>8.8465660000000002E-3</v>
      </c>
      <c r="J12" s="4">
        <f t="shared" si="0"/>
        <v>1.0296345942181651E-2</v>
      </c>
      <c r="K12" s="4">
        <f t="shared" si="1"/>
        <v>1.1770682071950644E-2</v>
      </c>
      <c r="L12" s="6">
        <f t="shared" si="2"/>
        <v>8.8465073339654143E-3</v>
      </c>
      <c r="M12" s="3">
        <f t="shared" si="3"/>
        <v>0.99999096213571037</v>
      </c>
      <c r="N12" s="3">
        <f t="shared" si="4"/>
        <v>0.99998853707016644</v>
      </c>
      <c r="O12" s="3">
        <f t="shared" si="5"/>
        <v>0.999993368496365</v>
      </c>
    </row>
    <row r="13" spans="1:15" x14ac:dyDescent="0.4">
      <c r="A13">
        <f t="shared" si="6"/>
        <v>45</v>
      </c>
      <c r="B13">
        <v>5</v>
      </c>
      <c r="C13" t="s">
        <v>15</v>
      </c>
      <c r="D13">
        <v>3.331297E-3</v>
      </c>
      <c r="E13">
        <v>4.0809319999999998E-3</v>
      </c>
      <c r="F13">
        <v>2.5740720000000002E-3</v>
      </c>
      <c r="G13">
        <v>1.6518913E-2</v>
      </c>
      <c r="H13">
        <v>2.0198588E-2</v>
      </c>
      <c r="I13">
        <v>1.2788067E-2</v>
      </c>
      <c r="J13" s="4">
        <f t="shared" si="0"/>
        <v>1.6518532748886927E-2</v>
      </c>
      <c r="K13" s="4">
        <f t="shared" si="1"/>
        <v>2.019789364558211E-2</v>
      </c>
      <c r="L13" s="6">
        <f t="shared" si="2"/>
        <v>1.278789109736056E-2</v>
      </c>
      <c r="M13" s="3">
        <f t="shared" si="3"/>
        <v>0.99997698086350639</v>
      </c>
      <c r="N13" s="3">
        <f t="shared" si="4"/>
        <v>0.99996562361597308</v>
      </c>
      <c r="O13" s="3">
        <f t="shared" si="5"/>
        <v>0.99998624478277753</v>
      </c>
    </row>
    <row r="14" spans="1:15" x14ac:dyDescent="0.4">
      <c r="A14">
        <f t="shared" si="6"/>
        <v>50</v>
      </c>
      <c r="B14">
        <v>5</v>
      </c>
      <c r="C14" t="s">
        <v>16</v>
      </c>
      <c r="D14">
        <v>6.2536509999999998E-3</v>
      </c>
      <c r="E14">
        <v>7.0857359999999996E-3</v>
      </c>
      <c r="F14">
        <v>5.3688290000000003E-3</v>
      </c>
      <c r="G14">
        <v>3.0786930000000001E-2</v>
      </c>
      <c r="H14">
        <v>3.4812009999999997E-2</v>
      </c>
      <c r="I14">
        <v>2.6488615E-2</v>
      </c>
      <c r="J14" s="4">
        <f t="shared" si="0"/>
        <v>3.0784458714856244E-2</v>
      </c>
      <c r="K14" s="4">
        <f t="shared" si="1"/>
        <v>3.4808430761967046E-2</v>
      </c>
      <c r="L14" s="6">
        <f t="shared" si="2"/>
        <v>2.6487043436898894E-2</v>
      </c>
      <c r="M14" s="3">
        <f t="shared" si="3"/>
        <v>0.99991972940648011</v>
      </c>
      <c r="N14" s="3">
        <f t="shared" si="4"/>
        <v>0.99989718381578796</v>
      </c>
      <c r="O14" s="3">
        <f t="shared" si="5"/>
        <v>0.99994067024262667</v>
      </c>
    </row>
    <row r="15" spans="1:15" x14ac:dyDescent="0.4">
      <c r="A15">
        <f t="shared" si="6"/>
        <v>55</v>
      </c>
      <c r="B15">
        <v>5</v>
      </c>
      <c r="C15" t="s">
        <v>17</v>
      </c>
      <c r="D15">
        <v>8.5170279999999994E-3</v>
      </c>
      <c r="E15">
        <v>9.9688569999999994E-3</v>
      </c>
      <c r="F15">
        <v>6.9385310000000004E-3</v>
      </c>
      <c r="G15">
        <v>4.1697298000000001E-2</v>
      </c>
      <c r="H15">
        <v>4.8632267E-2</v>
      </c>
      <c r="I15">
        <v>3.4101123999999997E-2</v>
      </c>
      <c r="J15" s="4">
        <f t="shared" si="0"/>
        <v>4.1691128369786279E-2</v>
      </c>
      <c r="K15" s="4">
        <f t="shared" si="1"/>
        <v>4.8622443276544636E-2</v>
      </c>
      <c r="L15" s="6">
        <f t="shared" si="2"/>
        <v>3.409776413509924E-2</v>
      </c>
      <c r="M15" s="3">
        <f t="shared" si="3"/>
        <v>0.99985203764968844</v>
      </c>
      <c r="N15" s="3">
        <f t="shared" si="4"/>
        <v>0.99979799988646711</v>
      </c>
      <c r="O15" s="3">
        <f t="shared" si="5"/>
        <v>0.99990147348513336</v>
      </c>
    </row>
    <row r="16" spans="1:15" x14ac:dyDescent="0.4">
      <c r="A16">
        <f t="shared" si="6"/>
        <v>60</v>
      </c>
      <c r="B16">
        <v>5</v>
      </c>
      <c r="C16" t="s">
        <v>18</v>
      </c>
      <c r="D16">
        <v>1.3662957999999999E-2</v>
      </c>
      <c r="E16">
        <v>1.5822836999999999E-2</v>
      </c>
      <c r="F16">
        <v>1.1235485E-2</v>
      </c>
      <c r="G16">
        <v>6.6058408999999998E-2</v>
      </c>
      <c r="H16">
        <v>7.6103743000000001E-2</v>
      </c>
      <c r="I16">
        <v>5.4642583000000002E-2</v>
      </c>
      <c r="J16" s="4">
        <f t="shared" si="0"/>
        <v>6.6033575992903604E-2</v>
      </c>
      <c r="K16" s="4">
        <f t="shared" si="1"/>
        <v>7.606558102999994E-2</v>
      </c>
      <c r="L16" s="6">
        <f t="shared" si="2"/>
        <v>5.4628611509057845E-2</v>
      </c>
      <c r="M16" s="3">
        <f t="shared" si="3"/>
        <v>0.99962407500464634</v>
      </c>
      <c r="N16" s="3">
        <f t="shared" si="4"/>
        <v>0.99949855331031401</v>
      </c>
      <c r="O16" s="3">
        <f t="shared" si="5"/>
        <v>0.99974431130127661</v>
      </c>
    </row>
    <row r="17" spans="1:35" x14ac:dyDescent="0.4">
      <c r="A17">
        <f t="shared" si="6"/>
        <v>65</v>
      </c>
      <c r="B17">
        <v>5</v>
      </c>
      <c r="C17" t="s">
        <v>19</v>
      </c>
      <c r="D17">
        <v>2.0659617000000002E-2</v>
      </c>
      <c r="E17">
        <v>2.3050488000000001E-2</v>
      </c>
      <c r="F17">
        <v>1.7953628999999999E-2</v>
      </c>
      <c r="G17">
        <v>9.8224863999999995E-2</v>
      </c>
      <c r="H17">
        <v>0.10897275300000001</v>
      </c>
      <c r="I17">
        <v>8.5912059999999998E-2</v>
      </c>
      <c r="J17" s="4">
        <f t="shared" si="0"/>
        <v>9.8141896962259834E-2</v>
      </c>
      <c r="K17" s="4">
        <f t="shared" si="1"/>
        <v>0.10885884416334746</v>
      </c>
      <c r="L17" s="6">
        <f t="shared" si="2"/>
        <v>8.5856890646931139E-2</v>
      </c>
      <c r="M17" s="3">
        <f t="shared" si="3"/>
        <v>0.99915533568221426</v>
      </c>
      <c r="N17" s="3">
        <f t="shared" si="4"/>
        <v>0.99895470350599891</v>
      </c>
      <c r="O17" s="3">
        <f t="shared" si="5"/>
        <v>0.99935783924784416</v>
      </c>
    </row>
    <row r="18" spans="1:35" x14ac:dyDescent="0.4">
      <c r="A18">
        <f t="shared" si="6"/>
        <v>70</v>
      </c>
      <c r="B18">
        <v>5</v>
      </c>
      <c r="C18" t="s">
        <v>20</v>
      </c>
      <c r="D18">
        <v>3.0480343E-2</v>
      </c>
      <c r="E18">
        <v>3.2467186000000002E-2</v>
      </c>
      <c r="F18">
        <v>2.8413694E-2</v>
      </c>
      <c r="G18">
        <v>0.14161084500000001</v>
      </c>
      <c r="H18">
        <v>0.15014866900000001</v>
      </c>
      <c r="I18">
        <v>0.13264605800000001</v>
      </c>
      <c r="J18" s="4">
        <f t="shared" si="0"/>
        <v>0.1413567184357627</v>
      </c>
      <c r="K18" s="4">
        <f t="shared" si="1"/>
        <v>0.14984443619327625</v>
      </c>
      <c r="L18" s="6">
        <f t="shared" si="2"/>
        <v>0.13243814750779859</v>
      </c>
      <c r="M18" s="3">
        <f t="shared" si="3"/>
        <v>0.99820545831615282</v>
      </c>
      <c r="N18" s="3">
        <f t="shared" si="4"/>
        <v>0.99797378951974758</v>
      </c>
      <c r="O18" s="3">
        <f t="shared" si="5"/>
        <v>0.99843259200208256</v>
      </c>
    </row>
    <row r="19" spans="1:35" x14ac:dyDescent="0.4">
      <c r="A19">
        <f t="shared" si="6"/>
        <v>75</v>
      </c>
      <c r="B19">
        <v>5</v>
      </c>
      <c r="C19" t="s">
        <v>21</v>
      </c>
      <c r="D19">
        <v>4.5105850000000003E-2</v>
      </c>
      <c r="E19">
        <v>4.7119350999999997E-2</v>
      </c>
      <c r="F19">
        <v>4.3142791E-2</v>
      </c>
      <c r="G19">
        <v>0.20267471300000001</v>
      </c>
      <c r="H19">
        <v>0.21076856099999999</v>
      </c>
      <c r="I19">
        <v>0.19471281800000001</v>
      </c>
      <c r="J19" s="4">
        <f t="shared" si="0"/>
        <v>0.2019062841347109</v>
      </c>
      <c r="K19" s="4">
        <f t="shared" si="1"/>
        <v>0.20990078673895785</v>
      </c>
      <c r="L19" s="6">
        <f t="shared" si="2"/>
        <v>0.19403418860561972</v>
      </c>
      <c r="M19" s="3">
        <f t="shared" si="3"/>
        <v>0.99620856073303476</v>
      </c>
      <c r="N19" s="3">
        <f t="shared" si="4"/>
        <v>0.99588280976572141</v>
      </c>
      <c r="O19" s="3">
        <f t="shared" si="5"/>
        <v>0.99651471638410427</v>
      </c>
    </row>
    <row r="20" spans="1:35" x14ac:dyDescent="0.4">
      <c r="A20">
        <f t="shared" si="6"/>
        <v>80</v>
      </c>
      <c r="B20">
        <v>5</v>
      </c>
      <c r="C20" t="s">
        <v>22</v>
      </c>
      <c r="D20">
        <v>8.4093851999999997E-2</v>
      </c>
      <c r="E20">
        <v>8.7356349999999999E-2</v>
      </c>
      <c r="F20">
        <v>8.1061458000000003E-2</v>
      </c>
      <c r="G20">
        <v>0.34742788800000002</v>
      </c>
      <c r="H20">
        <v>0.35849066000000002</v>
      </c>
      <c r="I20">
        <v>0.33701081999999999</v>
      </c>
      <c r="J20" s="4">
        <f t="shared" si="0"/>
        <v>0.34326143364444384</v>
      </c>
      <c r="K20" s="4">
        <f t="shared" si="1"/>
        <v>0.35388756993855208</v>
      </c>
      <c r="L20" s="6">
        <f t="shared" si="2"/>
        <v>0.33322811295860189</v>
      </c>
      <c r="M20" s="3">
        <f t="shared" si="3"/>
        <v>0.98800771469572934</v>
      </c>
      <c r="N20" s="3">
        <f t="shared" si="4"/>
        <v>0.98715980477302268</v>
      </c>
      <c r="O20" s="3">
        <f t="shared" si="5"/>
        <v>0.98877571040182599</v>
      </c>
    </row>
    <row r="21" spans="1:35" x14ac:dyDescent="0.4">
      <c r="A21">
        <f t="shared" si="6"/>
        <v>85</v>
      </c>
      <c r="B21" t="s">
        <v>39</v>
      </c>
      <c r="C21" t="s">
        <v>23</v>
      </c>
      <c r="D21">
        <v>0.16963729399999999</v>
      </c>
      <c r="E21">
        <v>0.17498828699999999</v>
      </c>
      <c r="F21">
        <v>0.165378053</v>
      </c>
      <c r="G21">
        <v>1</v>
      </c>
      <c r="H21">
        <v>1</v>
      </c>
      <c r="I21">
        <v>1</v>
      </c>
      <c r="J21" s="4">
        <v>1</v>
      </c>
      <c r="K21" s="5">
        <v>1</v>
      </c>
      <c r="L21" s="6">
        <v>1</v>
      </c>
      <c r="M21" s="3">
        <f t="shared" si="3"/>
        <v>1</v>
      </c>
      <c r="N21" s="3">
        <f t="shared" si="4"/>
        <v>1</v>
      </c>
      <c r="O21" s="3">
        <f t="shared" si="5"/>
        <v>1</v>
      </c>
    </row>
    <row r="24" spans="1:35" x14ac:dyDescent="0.4">
      <c r="A24" t="s">
        <v>1</v>
      </c>
      <c r="B24" t="s">
        <v>37</v>
      </c>
      <c r="C24" t="s">
        <v>38</v>
      </c>
      <c r="D24" s="2" t="s">
        <v>40</v>
      </c>
      <c r="E24" s="2" t="s">
        <v>41</v>
      </c>
      <c r="F24" s="2" t="s">
        <v>44</v>
      </c>
      <c r="G24" s="2" t="s">
        <v>45</v>
      </c>
      <c r="H24" s="2" t="s">
        <v>46</v>
      </c>
      <c r="I24" s="2" t="s">
        <v>47</v>
      </c>
      <c r="J24" s="2" t="s">
        <v>48</v>
      </c>
      <c r="K24" s="2" t="s">
        <v>49</v>
      </c>
      <c r="M24" t="s">
        <v>1</v>
      </c>
      <c r="N24" t="s">
        <v>37</v>
      </c>
      <c r="O24" t="s">
        <v>38</v>
      </c>
      <c r="P24" s="2" t="s">
        <v>52</v>
      </c>
      <c r="Q24" s="2" t="s">
        <v>41</v>
      </c>
      <c r="R24" s="2" t="s">
        <v>44</v>
      </c>
      <c r="S24" s="2" t="s">
        <v>45</v>
      </c>
      <c r="T24" s="2" t="s">
        <v>46</v>
      </c>
      <c r="U24" s="2" t="s">
        <v>47</v>
      </c>
      <c r="V24" s="2" t="s">
        <v>48</v>
      </c>
      <c r="W24" s="2" t="s">
        <v>49</v>
      </c>
      <c r="Y24" t="s">
        <v>1</v>
      </c>
      <c r="Z24" t="s">
        <v>37</v>
      </c>
      <c r="AA24" t="s">
        <v>38</v>
      </c>
      <c r="AB24" s="2" t="s">
        <v>53</v>
      </c>
      <c r="AC24" s="2" t="s">
        <v>41</v>
      </c>
      <c r="AD24" s="2" t="s">
        <v>44</v>
      </c>
      <c r="AE24" s="2" t="s">
        <v>45</v>
      </c>
      <c r="AF24" s="2" t="s">
        <v>46</v>
      </c>
      <c r="AG24" s="2" t="s">
        <v>47</v>
      </c>
      <c r="AH24" s="2" t="s">
        <v>48</v>
      </c>
      <c r="AI24" s="2" t="s">
        <v>49</v>
      </c>
    </row>
    <row r="25" spans="1:35" x14ac:dyDescent="0.4">
      <c r="A25" t="s">
        <v>5</v>
      </c>
      <c r="B25">
        <v>0</v>
      </c>
      <c r="C25">
        <v>1</v>
      </c>
      <c r="D25">
        <v>2.5907204999999999E-2</v>
      </c>
      <c r="E25">
        <f>1-EXP(-C25*D25)</f>
        <v>2.5574492771523794E-2</v>
      </c>
      <c r="F25">
        <f>1-E25</f>
        <v>0.97442550722847621</v>
      </c>
      <c r="G25" s="7">
        <v>100000</v>
      </c>
      <c r="H25" s="7">
        <f>G25-G26</f>
        <v>2557.4492771523801</v>
      </c>
      <c r="I25">
        <f>1/2*(G25+G26)*C25</f>
        <v>98721.275361423817</v>
      </c>
      <c r="J25">
        <f>SUM(I25:I43)</f>
        <v>7442624.4052565414</v>
      </c>
      <c r="K25" s="9">
        <f>J25/G25</f>
        <v>74.426244052565409</v>
      </c>
      <c r="M25" t="s">
        <v>5</v>
      </c>
      <c r="N25">
        <v>0</v>
      </c>
      <c r="O25">
        <v>1</v>
      </c>
      <c r="P25">
        <v>2.7709424E-2</v>
      </c>
      <c r="Q25">
        <f>1-EXP(-O25*P25)</f>
        <v>2.7329039421185142E-2</v>
      </c>
      <c r="R25">
        <f>1-Q25</f>
        <v>0.97267096057881486</v>
      </c>
      <c r="S25" s="7">
        <v>100000</v>
      </c>
      <c r="T25" s="7">
        <f>S25-S26</f>
        <v>2732.9039421185153</v>
      </c>
      <c r="U25">
        <f>1/2*(S25+S26)*O25</f>
        <v>98633.548028940742</v>
      </c>
      <c r="V25">
        <f>SUM(U25:U43)</f>
        <v>7314029.0702544749</v>
      </c>
      <c r="W25" s="10">
        <f>V25/S25</f>
        <v>73.140290702544746</v>
      </c>
      <c r="Y25" t="s">
        <v>5</v>
      </c>
      <c r="Z25">
        <v>0</v>
      </c>
      <c r="AA25">
        <v>1</v>
      </c>
      <c r="AB25">
        <v>2.402284E-2</v>
      </c>
      <c r="AC25">
        <f>1-EXP(-AA25*AB25)</f>
        <v>2.3736588353056143E-2</v>
      </c>
      <c r="AD25">
        <f>1-AC25</f>
        <v>0.97626341164694386</v>
      </c>
      <c r="AE25" s="7">
        <v>100000</v>
      </c>
      <c r="AF25" s="7">
        <f>AE25-AE26</f>
        <v>2373.658835305614</v>
      </c>
      <c r="AG25">
        <f>1/2*(AE25+AE26)*AA25</f>
        <v>98813.1705823472</v>
      </c>
      <c r="AH25">
        <f>SUM(AG25:AG43)</f>
        <v>7583673.6790251676</v>
      </c>
      <c r="AI25" s="10">
        <f>AH25/AE25</f>
        <v>75.836736790251678</v>
      </c>
    </row>
    <row r="26" spans="1:35" x14ac:dyDescent="0.4">
      <c r="A26" t="s">
        <v>6</v>
      </c>
      <c r="B26">
        <v>1</v>
      </c>
      <c r="C26">
        <v>4</v>
      </c>
      <c r="D26">
        <v>1.3297230000000001E-3</v>
      </c>
      <c r="E26">
        <f t="shared" ref="E26:E43" si="7">1-EXP(-C26*D26)</f>
        <v>5.3047717397517458E-3</v>
      </c>
      <c r="F26">
        <f t="shared" ref="F26:F43" si="8">1-E26</f>
        <v>0.99469522826024825</v>
      </c>
      <c r="G26" s="7">
        <f>G25*F25</f>
        <v>97442.55072284762</v>
      </c>
      <c r="H26" s="7">
        <f t="shared" ref="H26:H43" si="9">G26-G27</f>
        <v>516.91048932388367</v>
      </c>
      <c r="I26">
        <f t="shared" ref="I26:I43" si="10">1/2*(G26+G27)*C26</f>
        <v>388736.38191274274</v>
      </c>
      <c r="J26">
        <f t="shared" ref="J26:J43" si="11">SUM(I26:I44)</f>
        <v>7343903.1298951171</v>
      </c>
      <c r="K26" s="9">
        <f t="shared" ref="K26:K43" si="12">J26/G26</f>
        <v>75.366491080299397</v>
      </c>
      <c r="M26" t="s">
        <v>6</v>
      </c>
      <c r="N26">
        <v>1</v>
      </c>
      <c r="O26">
        <v>4</v>
      </c>
      <c r="P26">
        <v>1.424914E-3</v>
      </c>
      <c r="Q26">
        <f t="shared" ref="Q26:Q42" si="13">1-EXP(-O26*P26)</f>
        <v>5.6834437767302459E-3</v>
      </c>
      <c r="R26">
        <f t="shared" ref="R26:R43" si="14">1-Q26</f>
        <v>0.99431655622326975</v>
      </c>
      <c r="S26" s="7">
        <f>S25*R25</f>
        <v>97267.096057881485</v>
      </c>
      <c r="T26" s="7">
        <f t="shared" ref="T26:T43" si="15">S26-S27</f>
        <v>552.81207177079341</v>
      </c>
      <c r="U26">
        <f t="shared" ref="U26:U43" si="16">1/2*(S26+S27)*O26</f>
        <v>387962.76008798438</v>
      </c>
      <c r="V26">
        <f t="shared" ref="V26:V43" si="17">SUM(U26:U44)</f>
        <v>7215395.5222255327</v>
      </c>
      <c r="W26" s="9">
        <f t="shared" ref="W26:W43" si="18">V26/S26</f>
        <v>74.181257739326483</v>
      </c>
      <c r="Y26" t="s">
        <v>6</v>
      </c>
      <c r="Z26">
        <v>1</v>
      </c>
      <c r="AA26">
        <v>4</v>
      </c>
      <c r="AB26">
        <v>1.2303170000000001E-3</v>
      </c>
      <c r="AC26">
        <f t="shared" ref="AC26:AC42" si="19">1-EXP(-AA26*AB26)</f>
        <v>4.9091784008191697E-3</v>
      </c>
      <c r="AD26">
        <f t="shared" ref="AD26:AD43" si="20">1-AC26</f>
        <v>0.99509082159918083</v>
      </c>
      <c r="AE26" s="7">
        <f>AE25*AD25</f>
        <v>97626.341164694386</v>
      </c>
      <c r="AF26" s="7">
        <f t="shared" ref="AF26:AF43" si="21">AE26-AE27</f>
        <v>479.26512539671967</v>
      </c>
      <c r="AG26">
        <f t="shared" ref="AG26:AG43" si="22">1/2*(AE26+AE27)*AA26</f>
        <v>389546.8344079841</v>
      </c>
      <c r="AH26">
        <f t="shared" ref="AH26:AH43" si="23">SUM(AG26:AG44)</f>
        <v>7484860.50844282</v>
      </c>
      <c r="AI26" s="9">
        <f t="shared" ref="AI26:AI43" si="24">AH26/AE26</f>
        <v>76.668452583058055</v>
      </c>
    </row>
    <row r="27" spans="1:35" x14ac:dyDescent="0.4">
      <c r="A27" t="s">
        <v>7</v>
      </c>
      <c r="B27">
        <v>5</v>
      </c>
      <c r="C27">
        <v>5</v>
      </c>
      <c r="D27">
        <v>7.1463699999999995E-4</v>
      </c>
      <c r="E27">
        <f t="shared" si="7"/>
        <v>3.5668087712203977E-3</v>
      </c>
      <c r="F27">
        <f t="shared" si="8"/>
        <v>0.9964331912287796</v>
      </c>
      <c r="G27" s="7">
        <f t="shared" ref="G27:G43" si="25">G26*F26</f>
        <v>96925.640233523736</v>
      </c>
      <c r="H27" s="7">
        <f t="shared" si="9"/>
        <v>345.7152237410919</v>
      </c>
      <c r="I27">
        <f t="shared" si="10"/>
        <v>483763.91310826596</v>
      </c>
      <c r="J27">
        <f t="shared" si="11"/>
        <v>6955166.7479823753</v>
      </c>
      <c r="K27" s="9">
        <f t="shared" si="12"/>
        <v>71.757759156661081</v>
      </c>
      <c r="M27" t="s">
        <v>7</v>
      </c>
      <c r="N27">
        <v>5</v>
      </c>
      <c r="O27">
        <v>5</v>
      </c>
      <c r="P27">
        <v>7.6582600000000005E-4</v>
      </c>
      <c r="Q27">
        <f t="shared" si="13"/>
        <v>3.821808230039192E-3</v>
      </c>
      <c r="R27">
        <f t="shared" si="14"/>
        <v>0.99617819176996081</v>
      </c>
      <c r="S27" s="7">
        <f t="shared" ref="S27:S43" si="26">S26*R26</f>
        <v>96714.283986110691</v>
      </c>
      <c r="T27" s="7">
        <f t="shared" si="15"/>
        <v>369.62344650046725</v>
      </c>
      <c r="U27">
        <f t="shared" si="16"/>
        <v>482647.36131430225</v>
      </c>
      <c r="V27">
        <f t="shared" si="17"/>
        <v>6827432.762137549</v>
      </c>
      <c r="W27" s="9">
        <f t="shared" si="18"/>
        <v>70.593840751776114</v>
      </c>
      <c r="Y27" t="s">
        <v>7</v>
      </c>
      <c r="Z27">
        <v>5</v>
      </c>
      <c r="AA27">
        <v>5</v>
      </c>
      <c r="AB27">
        <v>6.6123899999999999E-4</v>
      </c>
      <c r="AC27">
        <f t="shared" si="19"/>
        <v>3.3007355556308182E-3</v>
      </c>
      <c r="AD27">
        <f t="shared" si="20"/>
        <v>0.99669926444436918</v>
      </c>
      <c r="AE27" s="7">
        <f t="shared" ref="AE27:AE43" si="27">AE26*AD26</f>
        <v>97147.076039297666</v>
      </c>
      <c r="AF27" s="7">
        <f t="shared" si="21"/>
        <v>320.65680800848349</v>
      </c>
      <c r="AG27">
        <f t="shared" si="22"/>
        <v>484933.73817646713</v>
      </c>
      <c r="AH27">
        <f t="shared" si="23"/>
        <v>7095313.6740348367</v>
      </c>
      <c r="AI27" s="9">
        <f t="shared" si="24"/>
        <v>73.036821727549068</v>
      </c>
    </row>
    <row r="28" spans="1:35" x14ac:dyDescent="0.4">
      <c r="A28" t="s">
        <v>8</v>
      </c>
      <c r="B28">
        <f>B27+5</f>
        <v>10</v>
      </c>
      <c r="C28">
        <v>5</v>
      </c>
      <c r="D28">
        <v>6.6755899999999997E-4</v>
      </c>
      <c r="E28">
        <f t="shared" si="7"/>
        <v>3.3322307547605234E-3</v>
      </c>
      <c r="F28">
        <f t="shared" si="8"/>
        <v>0.99666776924523948</v>
      </c>
      <c r="G28" s="7">
        <f t="shared" si="25"/>
        <v>96579.925009782644</v>
      </c>
      <c r="H28" s="7">
        <f t="shared" si="9"/>
        <v>321.82659641005739</v>
      </c>
      <c r="I28">
        <f t="shared" si="10"/>
        <v>482095.05855788814</v>
      </c>
      <c r="J28">
        <f t="shared" si="11"/>
        <v>6471402.8348741084</v>
      </c>
      <c r="K28" s="9">
        <f t="shared" si="12"/>
        <v>67.00567259933797</v>
      </c>
      <c r="M28" t="s">
        <v>8</v>
      </c>
      <c r="N28">
        <f>N27+5</f>
        <v>10</v>
      </c>
      <c r="O28">
        <v>5</v>
      </c>
      <c r="P28">
        <v>7.9780699999999999E-4</v>
      </c>
      <c r="Q28">
        <f t="shared" si="13"/>
        <v>3.9810893685294779E-3</v>
      </c>
      <c r="R28">
        <f t="shared" si="14"/>
        <v>0.99601891063147052</v>
      </c>
      <c r="S28" s="7">
        <f t="shared" si="26"/>
        <v>96344.660539610224</v>
      </c>
      <c r="T28" s="7">
        <f t="shared" si="15"/>
        <v>383.55670378882496</v>
      </c>
      <c r="U28">
        <f t="shared" si="16"/>
        <v>480764.41093857912</v>
      </c>
      <c r="V28">
        <f t="shared" si="17"/>
        <v>6344785.4008232467</v>
      </c>
      <c r="W28" s="9">
        <f t="shared" si="18"/>
        <v>65.855080761997314</v>
      </c>
      <c r="Y28" t="s">
        <v>8</v>
      </c>
      <c r="Z28">
        <f>Z27+5</f>
        <v>10</v>
      </c>
      <c r="AA28">
        <v>5</v>
      </c>
      <c r="AB28">
        <v>5.3151200000000004E-4</v>
      </c>
      <c r="AC28">
        <f t="shared" si="19"/>
        <v>2.654031813570934E-3</v>
      </c>
      <c r="AD28">
        <f t="shared" si="20"/>
        <v>0.99734596818642907</v>
      </c>
      <c r="AE28" s="7">
        <f t="shared" si="27"/>
        <v>96826.419231289183</v>
      </c>
      <c r="AF28" s="7">
        <f t="shared" si="21"/>
        <v>256.98039703399991</v>
      </c>
      <c r="AG28">
        <f t="shared" si="22"/>
        <v>483489.64516386093</v>
      </c>
      <c r="AH28">
        <f t="shared" si="23"/>
        <v>6610379.9358583698</v>
      </c>
      <c r="AI28" s="9">
        <f t="shared" si="24"/>
        <v>68.270416156443432</v>
      </c>
    </row>
    <row r="29" spans="1:35" x14ac:dyDescent="0.4">
      <c r="A29" t="s">
        <v>9</v>
      </c>
      <c r="B29">
        <f t="shared" ref="B29:B43" si="28">B28+5</f>
        <v>15</v>
      </c>
      <c r="C29">
        <v>5</v>
      </c>
      <c r="D29">
        <v>6.5986500000000004E-4</v>
      </c>
      <c r="E29">
        <f t="shared" si="7"/>
        <v>3.2938882081635645E-3</v>
      </c>
      <c r="F29">
        <f t="shared" si="8"/>
        <v>0.99670611179183644</v>
      </c>
      <c r="G29" s="7">
        <f t="shared" si="25"/>
        <v>96258.098413372587</v>
      </c>
      <c r="H29" s="7">
        <f t="shared" si="9"/>
        <v>317.06341530405916</v>
      </c>
      <c r="I29">
        <f t="shared" si="10"/>
        <v>480497.83352860279</v>
      </c>
      <c r="J29">
        <f t="shared" si="11"/>
        <v>5989307.7763162199</v>
      </c>
      <c r="K29" s="9">
        <f t="shared" si="12"/>
        <v>62.221339035762206</v>
      </c>
      <c r="M29" t="s">
        <v>9</v>
      </c>
      <c r="N29">
        <f t="shared" ref="N29:N43" si="29">N28+5</f>
        <v>15</v>
      </c>
      <c r="O29">
        <v>5</v>
      </c>
      <c r="P29">
        <v>6.9038300000000003E-4</v>
      </c>
      <c r="Q29">
        <f t="shared" si="13"/>
        <v>3.445963990844958E-3</v>
      </c>
      <c r="R29">
        <f t="shared" si="14"/>
        <v>0.99655403600915504</v>
      </c>
      <c r="S29" s="7">
        <f t="shared" si="26"/>
        <v>95961.103835821399</v>
      </c>
      <c r="T29" s="7">
        <f t="shared" si="15"/>
        <v>330.67850833997363</v>
      </c>
      <c r="U29">
        <f t="shared" si="16"/>
        <v>478978.82290825708</v>
      </c>
      <c r="V29">
        <f t="shared" si="17"/>
        <v>5864020.989884669</v>
      </c>
      <c r="W29" s="9">
        <f t="shared" si="18"/>
        <v>61.10831113319982</v>
      </c>
      <c r="Y29" t="s">
        <v>9</v>
      </c>
      <c r="Z29">
        <f t="shared" ref="Z29:Z43" si="30">Z28+5</f>
        <v>15</v>
      </c>
      <c r="AA29">
        <v>5</v>
      </c>
      <c r="AB29">
        <v>6.2793699999999996E-4</v>
      </c>
      <c r="AC29">
        <f t="shared" si="19"/>
        <v>3.1347613433087007E-3</v>
      </c>
      <c r="AD29">
        <f t="shared" si="20"/>
        <v>0.9968652386566913</v>
      </c>
      <c r="AE29" s="7">
        <f t="shared" si="27"/>
        <v>96569.438834255183</v>
      </c>
      <c r="AF29" s="7">
        <f t="shared" si="21"/>
        <v>302.72214380263176</v>
      </c>
      <c r="AG29">
        <f t="shared" si="22"/>
        <v>482090.38881176937</v>
      </c>
      <c r="AH29">
        <f t="shared" si="23"/>
        <v>6126890.2906945096</v>
      </c>
      <c r="AI29" s="9">
        <f t="shared" si="24"/>
        <v>63.445437445383341</v>
      </c>
    </row>
    <row r="30" spans="1:35" x14ac:dyDescent="0.4">
      <c r="A30" t="s">
        <v>10</v>
      </c>
      <c r="B30">
        <f t="shared" si="28"/>
        <v>20</v>
      </c>
      <c r="C30">
        <v>5</v>
      </c>
      <c r="D30">
        <v>7.4759999999999996E-4</v>
      </c>
      <c r="E30">
        <f t="shared" si="7"/>
        <v>3.7310223748284743E-3</v>
      </c>
      <c r="F30">
        <f t="shared" si="8"/>
        <v>0.99626897762517153</v>
      </c>
      <c r="G30" s="7">
        <f t="shared" si="25"/>
        <v>95941.034998068528</v>
      </c>
      <c r="H30" s="7">
        <f t="shared" si="9"/>
        <v>357.95814824198897</v>
      </c>
      <c r="I30">
        <f t="shared" si="10"/>
        <v>478810.2796197377</v>
      </c>
      <c r="J30">
        <f t="shared" si="11"/>
        <v>5508809.9427876174</v>
      </c>
      <c r="K30" s="9">
        <f t="shared" si="12"/>
        <v>57.418704550128318</v>
      </c>
      <c r="M30" t="s">
        <v>10</v>
      </c>
      <c r="N30">
        <f t="shared" si="29"/>
        <v>20</v>
      </c>
      <c r="O30">
        <v>5</v>
      </c>
      <c r="P30">
        <v>8.2127800000000005E-4</v>
      </c>
      <c r="Q30">
        <f t="shared" si="13"/>
        <v>4.0979703093710906E-3</v>
      </c>
      <c r="R30">
        <f t="shared" si="14"/>
        <v>0.99590202969062891</v>
      </c>
      <c r="S30" s="7">
        <f t="shared" si="26"/>
        <v>95630.425327481425</v>
      </c>
      <c r="T30" s="7">
        <f t="shared" si="15"/>
        <v>391.89064366454841</v>
      </c>
      <c r="U30">
        <f t="shared" si="16"/>
        <v>477172.40002824576</v>
      </c>
      <c r="V30">
        <f t="shared" si="17"/>
        <v>5385042.1669764118</v>
      </c>
      <c r="W30" s="9">
        <f t="shared" si="18"/>
        <v>56.310971623681631</v>
      </c>
      <c r="Y30" t="s">
        <v>10</v>
      </c>
      <c r="Z30">
        <f t="shared" si="30"/>
        <v>20</v>
      </c>
      <c r="AA30">
        <v>5</v>
      </c>
      <c r="AB30">
        <v>6.7167300000000002E-4</v>
      </c>
      <c r="AC30">
        <f t="shared" si="19"/>
        <v>3.3527319999179239E-3</v>
      </c>
      <c r="AD30">
        <f t="shared" si="20"/>
        <v>0.99664726800008208</v>
      </c>
      <c r="AE30" s="7">
        <f t="shared" si="27"/>
        <v>96266.716690452551</v>
      </c>
      <c r="AF30" s="7">
        <f t="shared" si="21"/>
        <v>322.756501575117</v>
      </c>
      <c r="AG30">
        <f t="shared" si="22"/>
        <v>480526.69219832495</v>
      </c>
      <c r="AH30">
        <f t="shared" si="23"/>
        <v>5644799.9018827388</v>
      </c>
      <c r="AI30" s="9">
        <f t="shared" si="24"/>
        <v>58.637087624310482</v>
      </c>
    </row>
    <row r="31" spans="1:35" x14ac:dyDescent="0.4">
      <c r="A31" t="s">
        <v>11</v>
      </c>
      <c r="B31">
        <f t="shared" si="28"/>
        <v>25</v>
      </c>
      <c r="C31">
        <v>5</v>
      </c>
      <c r="D31">
        <v>8.7164199999999995E-4</v>
      </c>
      <c r="E31">
        <f t="shared" si="7"/>
        <v>4.3487267844148914E-3</v>
      </c>
      <c r="F31">
        <f t="shared" si="8"/>
        <v>0.99565127321558511</v>
      </c>
      <c r="G31" s="7">
        <f t="shared" si="25"/>
        <v>95583.076849826539</v>
      </c>
      <c r="H31" s="7">
        <f t="shared" si="9"/>
        <v>415.66468643362168</v>
      </c>
      <c r="I31">
        <f t="shared" si="10"/>
        <v>476876.22253304865</v>
      </c>
      <c r="J31">
        <f t="shared" si="11"/>
        <v>5029999.663167879</v>
      </c>
      <c r="K31" s="9">
        <f t="shared" si="12"/>
        <v>52.624374826002551</v>
      </c>
      <c r="M31" t="s">
        <v>11</v>
      </c>
      <c r="N31">
        <f t="shared" si="29"/>
        <v>25</v>
      </c>
      <c r="O31">
        <v>5</v>
      </c>
      <c r="P31">
        <v>9.9916200000000005E-4</v>
      </c>
      <c r="Q31">
        <f t="shared" si="13"/>
        <v>4.9833516962956015E-3</v>
      </c>
      <c r="R31">
        <f t="shared" si="14"/>
        <v>0.9950166483037044</v>
      </c>
      <c r="S31" s="7">
        <f t="shared" si="26"/>
        <v>95238.534683816877</v>
      </c>
      <c r="T31" s="7">
        <f t="shared" si="15"/>
        <v>474.60711336930399</v>
      </c>
      <c r="U31">
        <f t="shared" si="16"/>
        <v>475006.1556356611</v>
      </c>
      <c r="V31">
        <f t="shared" si="17"/>
        <v>4907869.7669481663</v>
      </c>
      <c r="W31" s="9">
        <f t="shared" si="18"/>
        <v>51.532394773206455</v>
      </c>
      <c r="Y31" t="s">
        <v>11</v>
      </c>
      <c r="Z31">
        <f t="shared" si="30"/>
        <v>25</v>
      </c>
      <c r="AA31">
        <v>5</v>
      </c>
      <c r="AB31">
        <v>7.4453900000000001E-4</v>
      </c>
      <c r="AC31">
        <f t="shared" si="19"/>
        <v>3.7157743614408822E-3</v>
      </c>
      <c r="AD31">
        <f t="shared" si="20"/>
        <v>0.99628422563855912</v>
      </c>
      <c r="AE31" s="7">
        <f t="shared" si="27"/>
        <v>95943.960188877434</v>
      </c>
      <c r="AF31" s="7">
        <f t="shared" si="21"/>
        <v>356.50610740492994</v>
      </c>
      <c r="AG31">
        <f t="shared" si="22"/>
        <v>478828.53567587491</v>
      </c>
      <c r="AH31">
        <f t="shared" si="23"/>
        <v>5164273.2096844148</v>
      </c>
      <c r="AI31" s="9">
        <f t="shared" si="24"/>
        <v>53.825933383590908</v>
      </c>
    </row>
    <row r="32" spans="1:35" x14ac:dyDescent="0.4">
      <c r="A32" t="s">
        <v>12</v>
      </c>
      <c r="B32">
        <f t="shared" si="28"/>
        <v>30</v>
      </c>
      <c r="C32">
        <v>5</v>
      </c>
      <c r="D32">
        <v>9.8182299999999994E-4</v>
      </c>
      <c r="E32">
        <f t="shared" si="7"/>
        <v>4.8970849885787704E-3</v>
      </c>
      <c r="F32">
        <f t="shared" si="8"/>
        <v>0.99510291501142123</v>
      </c>
      <c r="G32" s="7">
        <f t="shared" si="25"/>
        <v>95167.412163392917</v>
      </c>
      <c r="H32" s="7">
        <f t="shared" si="9"/>
        <v>466.04290550724545</v>
      </c>
      <c r="I32">
        <f t="shared" si="10"/>
        <v>474671.95355319651</v>
      </c>
      <c r="J32">
        <f t="shared" si="11"/>
        <v>4553123.4406348299</v>
      </c>
      <c r="K32" s="9">
        <f t="shared" si="12"/>
        <v>47.843304100962342</v>
      </c>
      <c r="M32" t="s">
        <v>12</v>
      </c>
      <c r="N32">
        <f t="shared" si="29"/>
        <v>30</v>
      </c>
      <c r="O32">
        <v>5</v>
      </c>
      <c r="P32">
        <v>1.2036589999999999E-3</v>
      </c>
      <c r="Q32">
        <f t="shared" si="13"/>
        <v>6.0002213383657521E-3</v>
      </c>
      <c r="R32">
        <f t="shared" si="14"/>
        <v>0.99399977866163425</v>
      </c>
      <c r="S32" s="7">
        <f t="shared" si="26"/>
        <v>94763.927570447573</v>
      </c>
      <c r="T32" s="7">
        <f t="shared" si="15"/>
        <v>568.604540315544</v>
      </c>
      <c r="U32">
        <f t="shared" si="16"/>
        <v>472398.12650144903</v>
      </c>
      <c r="V32">
        <f t="shared" si="17"/>
        <v>4432863.6113125039</v>
      </c>
      <c r="W32" s="9">
        <f t="shared" si="18"/>
        <v>46.777964199690963</v>
      </c>
      <c r="Y32" t="s">
        <v>12</v>
      </c>
      <c r="Z32">
        <f t="shared" si="30"/>
        <v>30</v>
      </c>
      <c r="AA32">
        <v>5</v>
      </c>
      <c r="AB32">
        <v>7.6666600000000005E-4</v>
      </c>
      <c r="AC32">
        <f t="shared" si="19"/>
        <v>3.8259921696582877E-3</v>
      </c>
      <c r="AD32">
        <f t="shared" si="20"/>
        <v>0.99617400783034171</v>
      </c>
      <c r="AE32" s="7">
        <f t="shared" si="27"/>
        <v>95587.454081472504</v>
      </c>
      <c r="AF32" s="7">
        <f t="shared" si="21"/>
        <v>365.71685083328339</v>
      </c>
      <c r="AG32">
        <f t="shared" si="22"/>
        <v>477022.97828027932</v>
      </c>
      <c r="AH32">
        <f t="shared" si="23"/>
        <v>4685444.6740085399</v>
      </c>
      <c r="AI32" s="9">
        <f t="shared" si="24"/>
        <v>49.017360270051476</v>
      </c>
    </row>
    <row r="33" spans="1:35" x14ac:dyDescent="0.4">
      <c r="A33" t="s">
        <v>13</v>
      </c>
      <c r="B33">
        <f t="shared" si="28"/>
        <v>35</v>
      </c>
      <c r="C33">
        <v>5</v>
      </c>
      <c r="D33">
        <v>1.3308490000000001E-3</v>
      </c>
      <c r="E33">
        <f t="shared" si="7"/>
        <v>6.6321545373487778E-3</v>
      </c>
      <c r="F33">
        <f t="shared" si="8"/>
        <v>0.99336784546265122</v>
      </c>
      <c r="G33" s="7">
        <f t="shared" si="25"/>
        <v>94701.369257885672</v>
      </c>
      <c r="H33" s="7">
        <f t="shared" si="9"/>
        <v>628.07411581682391</v>
      </c>
      <c r="I33">
        <f t="shared" si="10"/>
        <v>471936.66099988628</v>
      </c>
      <c r="J33">
        <f t="shared" si="11"/>
        <v>4078451.4870816339</v>
      </c>
      <c r="K33" s="9">
        <f t="shared" si="12"/>
        <v>43.066446863882341</v>
      </c>
      <c r="M33" t="s">
        <v>13</v>
      </c>
      <c r="N33">
        <f t="shared" si="29"/>
        <v>35</v>
      </c>
      <c r="O33">
        <v>5</v>
      </c>
      <c r="P33">
        <v>1.531267E-3</v>
      </c>
      <c r="Q33">
        <f t="shared" si="13"/>
        <v>7.6270999259371308E-3</v>
      </c>
      <c r="R33">
        <f t="shared" si="14"/>
        <v>0.99237290007406287</v>
      </c>
      <c r="S33" s="7">
        <f t="shared" si="26"/>
        <v>94195.323030132029</v>
      </c>
      <c r="T33" s="7">
        <f t="shared" si="15"/>
        <v>718.43714130674198</v>
      </c>
      <c r="U33">
        <f t="shared" si="16"/>
        <v>469180.5222973933</v>
      </c>
      <c r="V33">
        <f t="shared" si="17"/>
        <v>3960465.4848110545</v>
      </c>
      <c r="W33" s="9">
        <f t="shared" si="18"/>
        <v>42.04524553245755</v>
      </c>
      <c r="Y33" t="s">
        <v>13</v>
      </c>
      <c r="Z33">
        <f t="shared" si="30"/>
        <v>35</v>
      </c>
      <c r="AA33">
        <v>5</v>
      </c>
      <c r="AB33">
        <v>1.136441E-3</v>
      </c>
      <c r="AC33">
        <f t="shared" si="19"/>
        <v>5.6660918071034239E-3</v>
      </c>
      <c r="AD33">
        <f t="shared" si="20"/>
        <v>0.99433390819289658</v>
      </c>
      <c r="AE33" s="7">
        <f t="shared" si="27"/>
        <v>95221.737230639221</v>
      </c>
      <c r="AF33" s="7">
        <f t="shared" si="21"/>
        <v>539.53510518067924</v>
      </c>
      <c r="AG33">
        <f t="shared" si="22"/>
        <v>474759.84839024441</v>
      </c>
      <c r="AH33">
        <f t="shared" si="23"/>
        <v>4208421.695728261</v>
      </c>
      <c r="AI33" s="9">
        <f t="shared" si="24"/>
        <v>44.196018872612306</v>
      </c>
    </row>
    <row r="34" spans="1:35" x14ac:dyDescent="0.4">
      <c r="A34" t="s">
        <v>14</v>
      </c>
      <c r="B34">
        <f t="shared" si="28"/>
        <v>40</v>
      </c>
      <c r="C34">
        <v>5</v>
      </c>
      <c r="D34">
        <v>2.0699440000000002E-3</v>
      </c>
      <c r="E34">
        <f t="shared" si="7"/>
        <v>1.0296345942181651E-2</v>
      </c>
      <c r="F34">
        <f t="shared" si="8"/>
        <v>0.98970365405781835</v>
      </c>
      <c r="G34" s="7">
        <f t="shared" si="25"/>
        <v>94073.295142068848</v>
      </c>
      <c r="H34" s="7">
        <f t="shared" si="9"/>
        <v>968.6111907036975</v>
      </c>
      <c r="I34">
        <f t="shared" si="10"/>
        <v>467944.94773358502</v>
      </c>
      <c r="J34">
        <f t="shared" si="11"/>
        <v>3606514.8260817472</v>
      </c>
      <c r="K34" s="9">
        <f t="shared" si="12"/>
        <v>38.337286055890921</v>
      </c>
      <c r="M34" t="s">
        <v>14</v>
      </c>
      <c r="N34">
        <f t="shared" si="29"/>
        <v>40</v>
      </c>
      <c r="O34">
        <v>5</v>
      </c>
      <c r="P34">
        <v>2.3681010000000001E-3</v>
      </c>
      <c r="Q34">
        <f t="shared" si="13"/>
        <v>1.1770682071950644E-2</v>
      </c>
      <c r="R34">
        <f t="shared" si="14"/>
        <v>0.98822931792804936</v>
      </c>
      <c r="S34" s="7">
        <f t="shared" si="26"/>
        <v>93476.885888825287</v>
      </c>
      <c r="T34" s="7">
        <f t="shared" si="15"/>
        <v>1100.2867048733751</v>
      </c>
      <c r="U34">
        <f t="shared" si="16"/>
        <v>464633.71268194297</v>
      </c>
      <c r="V34">
        <f t="shared" si="17"/>
        <v>3491284.962513661</v>
      </c>
      <c r="W34" s="9">
        <f t="shared" si="18"/>
        <v>37.349179204214671</v>
      </c>
      <c r="Y34" t="s">
        <v>14</v>
      </c>
      <c r="Z34">
        <f t="shared" si="30"/>
        <v>40</v>
      </c>
      <c r="AA34">
        <v>5</v>
      </c>
      <c r="AB34">
        <v>1.7771740000000001E-3</v>
      </c>
      <c r="AC34">
        <f t="shared" si="19"/>
        <v>8.8465073339654143E-3</v>
      </c>
      <c r="AD34">
        <f t="shared" si="20"/>
        <v>0.99115349266603459</v>
      </c>
      <c r="AE34" s="7">
        <f t="shared" si="27"/>
        <v>94682.202125458542</v>
      </c>
      <c r="AF34" s="7">
        <f t="shared" si="21"/>
        <v>837.60679549886845</v>
      </c>
      <c r="AG34">
        <f t="shared" si="22"/>
        <v>471316.99363854551</v>
      </c>
      <c r="AH34">
        <f t="shared" si="23"/>
        <v>3733661.8473380175</v>
      </c>
      <c r="AI34" s="9">
        <f t="shared" si="24"/>
        <v>39.433618605434773</v>
      </c>
    </row>
    <row r="35" spans="1:35" x14ac:dyDescent="0.4">
      <c r="A35" t="s">
        <v>15</v>
      </c>
      <c r="B35">
        <f t="shared" si="28"/>
        <v>45</v>
      </c>
      <c r="C35">
        <v>5</v>
      </c>
      <c r="D35">
        <v>3.331297E-3</v>
      </c>
      <c r="E35">
        <f t="shared" si="7"/>
        <v>1.6518532748886927E-2</v>
      </c>
      <c r="F35">
        <f t="shared" si="8"/>
        <v>0.98348146725111307</v>
      </c>
      <c r="G35" s="7">
        <f t="shared" si="25"/>
        <v>93104.68395136515</v>
      </c>
      <c r="H35" s="7">
        <f t="shared" si="9"/>
        <v>1537.9527709253889</v>
      </c>
      <c r="I35">
        <f t="shared" si="10"/>
        <v>461678.53782951226</v>
      </c>
      <c r="J35">
        <f t="shared" si="11"/>
        <v>3138569.8783481629</v>
      </c>
      <c r="K35" s="9">
        <f t="shared" si="12"/>
        <v>33.710117956983233</v>
      </c>
      <c r="M35" t="s">
        <v>15</v>
      </c>
      <c r="N35">
        <f t="shared" si="29"/>
        <v>45</v>
      </c>
      <c r="O35">
        <v>5</v>
      </c>
      <c r="P35">
        <v>4.0809319999999998E-3</v>
      </c>
      <c r="Q35">
        <f t="shared" si="13"/>
        <v>2.019789364558211E-2</v>
      </c>
      <c r="R35">
        <f t="shared" si="14"/>
        <v>0.97980210635441789</v>
      </c>
      <c r="S35" s="7">
        <f t="shared" si="26"/>
        <v>92376.599183951912</v>
      </c>
      <c r="T35" s="7">
        <f t="shared" si="15"/>
        <v>1865.8127256580337</v>
      </c>
      <c r="U35">
        <f t="shared" si="16"/>
        <v>457218.46410561446</v>
      </c>
      <c r="V35">
        <f t="shared" si="17"/>
        <v>3026651.2498317184</v>
      </c>
      <c r="W35" s="9">
        <f t="shared" si="18"/>
        <v>32.764263640022833</v>
      </c>
      <c r="Y35" t="s">
        <v>15</v>
      </c>
      <c r="Z35">
        <f t="shared" si="30"/>
        <v>45</v>
      </c>
      <c r="AA35">
        <v>5</v>
      </c>
      <c r="AB35">
        <v>2.5740720000000002E-3</v>
      </c>
      <c r="AC35">
        <f t="shared" si="19"/>
        <v>1.278789109736056E-2</v>
      </c>
      <c r="AD35">
        <f t="shared" si="20"/>
        <v>0.98721210890263944</v>
      </c>
      <c r="AE35" s="7">
        <f t="shared" si="27"/>
        <v>93844.595329959673</v>
      </c>
      <c r="AF35" s="7">
        <f t="shared" si="21"/>
        <v>1200.0744651553978</v>
      </c>
      <c r="AG35">
        <f t="shared" si="22"/>
        <v>466222.79048690986</v>
      </c>
      <c r="AH35">
        <f t="shared" si="23"/>
        <v>3262344.8536994718</v>
      </c>
      <c r="AI35" s="9">
        <f t="shared" si="24"/>
        <v>34.763268382467793</v>
      </c>
    </row>
    <row r="36" spans="1:35" x14ac:dyDescent="0.4">
      <c r="A36" t="s">
        <v>16</v>
      </c>
      <c r="B36">
        <f t="shared" si="28"/>
        <v>50</v>
      </c>
      <c r="C36">
        <v>5</v>
      </c>
      <c r="D36">
        <v>6.2536509999999998E-3</v>
      </c>
      <c r="E36">
        <f t="shared" si="7"/>
        <v>3.0784458714856244E-2</v>
      </c>
      <c r="F36">
        <f t="shared" si="8"/>
        <v>0.96921554128514376</v>
      </c>
      <c r="G36" s="7">
        <f t="shared" si="25"/>
        <v>91566.731180439761</v>
      </c>
      <c r="H36" s="7">
        <f t="shared" si="9"/>
        <v>2818.8322556785861</v>
      </c>
      <c r="I36">
        <f t="shared" si="10"/>
        <v>450786.57526300231</v>
      </c>
      <c r="J36">
        <f t="shared" si="11"/>
        <v>2676891.3405186506</v>
      </c>
      <c r="K36" s="9">
        <f t="shared" si="12"/>
        <v>29.234322400824993</v>
      </c>
      <c r="M36" t="s">
        <v>16</v>
      </c>
      <c r="N36">
        <f t="shared" si="29"/>
        <v>50</v>
      </c>
      <c r="O36">
        <v>5</v>
      </c>
      <c r="P36">
        <v>7.0857359999999996E-3</v>
      </c>
      <c r="Q36">
        <f t="shared" si="13"/>
        <v>3.4808430761967046E-2</v>
      </c>
      <c r="R36">
        <f t="shared" si="14"/>
        <v>0.96519156923803295</v>
      </c>
      <c r="S36" s="7">
        <f t="shared" si="26"/>
        <v>90510.786458293878</v>
      </c>
      <c r="T36" s="7">
        <f t="shared" si="15"/>
        <v>3150.5384436447057</v>
      </c>
      <c r="U36">
        <f t="shared" si="16"/>
        <v>444677.58618235763</v>
      </c>
      <c r="V36">
        <f t="shared" si="17"/>
        <v>2569432.7857261039</v>
      </c>
      <c r="W36" s="9">
        <f t="shared" si="18"/>
        <v>28.388138986175566</v>
      </c>
      <c r="Y36" t="s">
        <v>16</v>
      </c>
      <c r="Z36">
        <f t="shared" si="30"/>
        <v>50</v>
      </c>
      <c r="AA36">
        <v>5</v>
      </c>
      <c r="AB36">
        <v>5.3688290000000003E-3</v>
      </c>
      <c r="AC36">
        <f t="shared" si="19"/>
        <v>2.6487043436898894E-2</v>
      </c>
      <c r="AD36">
        <f t="shared" si="20"/>
        <v>0.97351295656310111</v>
      </c>
      <c r="AE36" s="7">
        <f t="shared" si="27"/>
        <v>92644.520864804275</v>
      </c>
      <c r="AF36" s="7">
        <f t="shared" si="21"/>
        <v>2453.8794483367528</v>
      </c>
      <c r="AG36">
        <f t="shared" si="22"/>
        <v>457087.90570317948</v>
      </c>
      <c r="AH36">
        <f t="shared" si="23"/>
        <v>2796122.0632125619</v>
      </c>
      <c r="AI36" s="9">
        <f t="shared" si="24"/>
        <v>30.181191905487104</v>
      </c>
    </row>
    <row r="37" spans="1:35" x14ac:dyDescent="0.4">
      <c r="A37" t="s">
        <v>17</v>
      </c>
      <c r="B37">
        <f t="shared" si="28"/>
        <v>55</v>
      </c>
      <c r="C37">
        <v>5</v>
      </c>
      <c r="D37">
        <v>8.5170279999999994E-3</v>
      </c>
      <c r="E37">
        <f t="shared" si="7"/>
        <v>4.1691128369786279E-2</v>
      </c>
      <c r="F37">
        <f t="shared" si="8"/>
        <v>0.95830887163021372</v>
      </c>
      <c r="G37" s="7">
        <f t="shared" si="25"/>
        <v>88747.898924761175</v>
      </c>
      <c r="H37" s="7">
        <f t="shared" si="9"/>
        <v>3700.0000466210331</v>
      </c>
      <c r="I37">
        <f t="shared" si="10"/>
        <v>434489.49450725329</v>
      </c>
      <c r="J37">
        <f t="shared" si="11"/>
        <v>2226104.7652556482</v>
      </c>
      <c r="K37" s="9">
        <f t="shared" si="12"/>
        <v>25.083464422553806</v>
      </c>
      <c r="M37" t="s">
        <v>17</v>
      </c>
      <c r="N37">
        <f t="shared" si="29"/>
        <v>55</v>
      </c>
      <c r="O37">
        <v>5</v>
      </c>
      <c r="P37">
        <v>9.9688569999999994E-3</v>
      </c>
      <c r="Q37">
        <f t="shared" si="13"/>
        <v>4.8622443276544636E-2</v>
      </c>
      <c r="R37">
        <f t="shared" si="14"/>
        <v>0.95137755672345536</v>
      </c>
      <c r="S37" s="7">
        <f t="shared" si="26"/>
        <v>87360.248014649173</v>
      </c>
      <c r="T37" s="7">
        <f t="shared" si="15"/>
        <v>4247.6687037171505</v>
      </c>
      <c r="U37">
        <f t="shared" si="16"/>
        <v>426182.068313953</v>
      </c>
      <c r="V37">
        <f t="shared" si="17"/>
        <v>2124755.1995437467</v>
      </c>
      <c r="W37" s="9">
        <f t="shared" si="18"/>
        <v>24.321762447234043</v>
      </c>
      <c r="Y37" t="s">
        <v>17</v>
      </c>
      <c r="Z37">
        <f t="shared" si="30"/>
        <v>55</v>
      </c>
      <c r="AA37">
        <v>5</v>
      </c>
      <c r="AB37">
        <v>6.9385310000000004E-3</v>
      </c>
      <c r="AC37">
        <f t="shared" si="19"/>
        <v>3.409776413509924E-2</v>
      </c>
      <c r="AD37">
        <f t="shared" si="20"/>
        <v>0.96590223586490076</v>
      </c>
      <c r="AE37" s="7">
        <f t="shared" si="27"/>
        <v>90190.641416467523</v>
      </c>
      <c r="AF37" s="7">
        <f t="shared" si="21"/>
        <v>3075.2992182120215</v>
      </c>
      <c r="AG37">
        <f t="shared" si="22"/>
        <v>443264.95903680753</v>
      </c>
      <c r="AH37">
        <f t="shared" si="23"/>
        <v>2339034.1575093823</v>
      </c>
      <c r="AI37" s="9">
        <f t="shared" si="24"/>
        <v>25.934333327430004</v>
      </c>
    </row>
    <row r="38" spans="1:35" x14ac:dyDescent="0.4">
      <c r="A38" t="s">
        <v>18</v>
      </c>
      <c r="B38">
        <f t="shared" si="28"/>
        <v>60</v>
      </c>
      <c r="C38">
        <v>5</v>
      </c>
      <c r="D38">
        <v>1.3662957999999999E-2</v>
      </c>
      <c r="E38">
        <f t="shared" si="7"/>
        <v>6.6033575992903604E-2</v>
      </c>
      <c r="F38">
        <f t="shared" si="8"/>
        <v>0.9339664240070964</v>
      </c>
      <c r="G38" s="7">
        <f t="shared" si="25"/>
        <v>85047.898878140142</v>
      </c>
      <c r="H38" s="7">
        <f t="shared" si="9"/>
        <v>5616.0168936064438</v>
      </c>
      <c r="I38">
        <f t="shared" si="10"/>
        <v>411199.45215668459</v>
      </c>
      <c r="J38">
        <f t="shared" si="11"/>
        <v>1791615.270748395</v>
      </c>
      <c r="K38" s="9">
        <f t="shared" si="12"/>
        <v>21.065955707095004</v>
      </c>
      <c r="M38" t="s">
        <v>18</v>
      </c>
      <c r="N38">
        <f t="shared" si="29"/>
        <v>60</v>
      </c>
      <c r="O38">
        <v>5</v>
      </c>
      <c r="P38">
        <v>1.5822836999999999E-2</v>
      </c>
      <c r="Q38">
        <f t="shared" si="13"/>
        <v>7.606558102999994E-2</v>
      </c>
      <c r="R38">
        <f t="shared" si="14"/>
        <v>0.92393441897000006</v>
      </c>
      <c r="S38" s="7">
        <f t="shared" si="26"/>
        <v>83112.579310932022</v>
      </c>
      <c r="T38" s="7">
        <f t="shared" si="15"/>
        <v>6322.0066361880017</v>
      </c>
      <c r="U38">
        <f t="shared" si="16"/>
        <v>399757.87996419007</v>
      </c>
      <c r="V38">
        <f t="shared" si="17"/>
        <v>1698573.1312297937</v>
      </c>
      <c r="W38" s="9">
        <f t="shared" si="18"/>
        <v>20.437016217187423</v>
      </c>
      <c r="Y38" t="s">
        <v>18</v>
      </c>
      <c r="Z38">
        <f t="shared" si="30"/>
        <v>60</v>
      </c>
      <c r="AA38">
        <v>5</v>
      </c>
      <c r="AB38">
        <v>1.1235485E-2</v>
      </c>
      <c r="AC38">
        <f t="shared" si="19"/>
        <v>5.4628611509057845E-2</v>
      </c>
      <c r="AD38">
        <f t="shared" si="20"/>
        <v>0.94537138849094215</v>
      </c>
      <c r="AE38" s="7">
        <f t="shared" si="27"/>
        <v>87115.342198255501</v>
      </c>
      <c r="AF38" s="7">
        <f t="shared" si="21"/>
        <v>4758.9901854271302</v>
      </c>
      <c r="AG38">
        <f t="shared" si="22"/>
        <v>423679.23552770971</v>
      </c>
      <c r="AH38">
        <f t="shared" si="23"/>
        <v>1895769.1984725748</v>
      </c>
      <c r="AI38" s="9">
        <f t="shared" si="24"/>
        <v>21.761599629124088</v>
      </c>
    </row>
    <row r="39" spans="1:35" x14ac:dyDescent="0.4">
      <c r="A39" t="s">
        <v>19</v>
      </c>
      <c r="B39">
        <f t="shared" si="28"/>
        <v>65</v>
      </c>
      <c r="C39">
        <v>5</v>
      </c>
      <c r="D39">
        <v>2.0659617000000002E-2</v>
      </c>
      <c r="E39">
        <f t="shared" si="7"/>
        <v>9.8141896962259834E-2</v>
      </c>
      <c r="F39">
        <f t="shared" si="8"/>
        <v>0.90185810303774017</v>
      </c>
      <c r="G39" s="7">
        <f t="shared" si="25"/>
        <v>79431.881984533698</v>
      </c>
      <c r="H39" s="7">
        <f t="shared" si="9"/>
        <v>7795.5955772444868</v>
      </c>
      <c r="I39">
        <f t="shared" si="10"/>
        <v>377670.42097955721</v>
      </c>
      <c r="J39">
        <f t="shared" si="11"/>
        <v>1380415.8185917104</v>
      </c>
      <c r="K39" s="9">
        <f t="shared" si="12"/>
        <v>17.378611510935787</v>
      </c>
      <c r="M39" t="s">
        <v>19</v>
      </c>
      <c r="N39">
        <f t="shared" si="29"/>
        <v>65</v>
      </c>
      <c r="O39">
        <v>5</v>
      </c>
      <c r="P39">
        <v>2.3050488000000001E-2</v>
      </c>
      <c r="Q39">
        <f t="shared" si="13"/>
        <v>0.10885884416334746</v>
      </c>
      <c r="R39">
        <f t="shared" si="14"/>
        <v>0.89114115583665254</v>
      </c>
      <c r="S39" s="7">
        <f t="shared" si="26"/>
        <v>76790.57267474402</v>
      </c>
      <c r="T39" s="7">
        <f t="shared" si="15"/>
        <v>8359.3329840141669</v>
      </c>
      <c r="U39">
        <f t="shared" si="16"/>
        <v>363054.53091368475</v>
      </c>
      <c r="V39">
        <f t="shared" si="17"/>
        <v>1298815.2512656036</v>
      </c>
      <c r="W39" s="9">
        <f t="shared" si="18"/>
        <v>16.913733105844859</v>
      </c>
      <c r="Y39" t="s">
        <v>19</v>
      </c>
      <c r="Z39">
        <f t="shared" si="30"/>
        <v>65</v>
      </c>
      <c r="AA39">
        <v>5</v>
      </c>
      <c r="AB39">
        <v>1.7953628999999999E-2</v>
      </c>
      <c r="AC39">
        <f t="shared" si="19"/>
        <v>8.5856890646931139E-2</v>
      </c>
      <c r="AD39">
        <f t="shared" si="20"/>
        <v>0.91414310935306886</v>
      </c>
      <c r="AE39" s="7">
        <f t="shared" si="27"/>
        <v>82356.352012828371</v>
      </c>
      <c r="AF39" s="7">
        <f t="shared" si="21"/>
        <v>7070.8603088455711</v>
      </c>
      <c r="AG39">
        <f t="shared" si="22"/>
        <v>394104.60929202789</v>
      </c>
      <c r="AH39">
        <f t="shared" si="23"/>
        <v>1472089.962944865</v>
      </c>
      <c r="AI39" s="9">
        <f t="shared" si="24"/>
        <v>17.874637802261596</v>
      </c>
    </row>
    <row r="40" spans="1:35" x14ac:dyDescent="0.4">
      <c r="A40" t="s">
        <v>20</v>
      </c>
      <c r="B40">
        <f t="shared" si="28"/>
        <v>70</v>
      </c>
      <c r="C40">
        <v>5</v>
      </c>
      <c r="D40">
        <v>3.0480343E-2</v>
      </c>
      <c r="E40">
        <f t="shared" si="7"/>
        <v>0.1413567184357627</v>
      </c>
      <c r="F40">
        <f t="shared" si="8"/>
        <v>0.8586432815642373</v>
      </c>
      <c r="G40" s="7">
        <f t="shared" si="25"/>
        <v>71636.286407289212</v>
      </c>
      <c r="H40" s="7">
        <f t="shared" si="9"/>
        <v>10126.270367458834</v>
      </c>
      <c r="I40">
        <f t="shared" si="10"/>
        <v>332865.75611779897</v>
      </c>
      <c r="J40">
        <f t="shared" si="11"/>
        <v>1002745.3976121533</v>
      </c>
      <c r="K40" s="9">
        <f t="shared" si="12"/>
        <v>13.997730031830921</v>
      </c>
      <c r="M40" t="s">
        <v>20</v>
      </c>
      <c r="N40">
        <f t="shared" si="29"/>
        <v>70</v>
      </c>
      <c r="O40">
        <v>5</v>
      </c>
      <c r="P40">
        <v>3.2467186000000002E-2</v>
      </c>
      <c r="Q40">
        <f t="shared" si="13"/>
        <v>0.14984443619327625</v>
      </c>
      <c r="R40">
        <f t="shared" si="14"/>
        <v>0.85015556380672375</v>
      </c>
      <c r="S40" s="7">
        <f t="shared" si="26"/>
        <v>68431.239690729853</v>
      </c>
      <c r="T40" s="7">
        <f t="shared" si="15"/>
        <v>10254.040529464364</v>
      </c>
      <c r="U40">
        <f t="shared" si="16"/>
        <v>316521.09712998837</v>
      </c>
      <c r="V40">
        <f t="shared" si="17"/>
        <v>935760.72035191895</v>
      </c>
      <c r="W40" s="9">
        <f t="shared" si="18"/>
        <v>13.674466874793199</v>
      </c>
      <c r="Y40" t="s">
        <v>20</v>
      </c>
      <c r="Z40">
        <f t="shared" si="30"/>
        <v>70</v>
      </c>
      <c r="AA40">
        <v>5</v>
      </c>
      <c r="AB40">
        <v>2.8413694E-2</v>
      </c>
      <c r="AC40">
        <f t="shared" si="19"/>
        <v>0.13243814750779859</v>
      </c>
      <c r="AD40">
        <f t="shared" si="20"/>
        <v>0.86756185249220141</v>
      </c>
      <c r="AE40" s="7">
        <f t="shared" si="27"/>
        <v>75285.4917039828</v>
      </c>
      <c r="AF40" s="7">
        <f t="shared" si="21"/>
        <v>9970.6710554892197</v>
      </c>
      <c r="AG40">
        <f t="shared" si="22"/>
        <v>351500.78088119096</v>
      </c>
      <c r="AH40">
        <f t="shared" si="23"/>
        <v>1077985.353652837</v>
      </c>
      <c r="AI40" s="9">
        <f t="shared" si="24"/>
        <v>14.318633368184653</v>
      </c>
    </row>
    <row r="41" spans="1:35" x14ac:dyDescent="0.4">
      <c r="A41" t="s">
        <v>21</v>
      </c>
      <c r="B41">
        <f t="shared" si="28"/>
        <v>75</v>
      </c>
      <c r="C41">
        <v>5</v>
      </c>
      <c r="D41">
        <v>4.5105850000000003E-2</v>
      </c>
      <c r="E41">
        <f t="shared" si="7"/>
        <v>0.2019062841347109</v>
      </c>
      <c r="F41">
        <f t="shared" si="8"/>
        <v>0.7980937158652891</v>
      </c>
      <c r="G41" s="7">
        <f t="shared" si="25"/>
        <v>61510.016039830378</v>
      </c>
      <c r="H41" s="7">
        <f t="shared" si="9"/>
        <v>12419.258775668619</v>
      </c>
      <c r="I41">
        <f t="shared" si="10"/>
        <v>276501.93325998035</v>
      </c>
      <c r="J41">
        <f t="shared" si="11"/>
        <v>669879.64149435435</v>
      </c>
      <c r="K41" s="9">
        <f t="shared" si="12"/>
        <v>10.890578228114565</v>
      </c>
      <c r="M41" t="s">
        <v>21</v>
      </c>
      <c r="N41">
        <f t="shared" si="29"/>
        <v>75</v>
      </c>
      <c r="O41">
        <v>5</v>
      </c>
      <c r="P41">
        <v>4.7119350999999997E-2</v>
      </c>
      <c r="Q41">
        <f t="shared" si="13"/>
        <v>0.20990078673895785</v>
      </c>
      <c r="R41">
        <f t="shared" si="14"/>
        <v>0.79009921326104215</v>
      </c>
      <c r="S41" s="7">
        <f t="shared" si="26"/>
        <v>58177.199161265489</v>
      </c>
      <c r="T41" s="7">
        <f t="shared" si="15"/>
        <v>12211.439874218668</v>
      </c>
      <c r="U41">
        <f t="shared" si="16"/>
        <v>260357.39612078076</v>
      </c>
      <c r="V41">
        <f t="shared" si="17"/>
        <v>619239.62322193058</v>
      </c>
      <c r="W41" s="9">
        <f t="shared" si="18"/>
        <v>10.644026047136036</v>
      </c>
      <c r="Y41" t="s">
        <v>21</v>
      </c>
      <c r="Z41">
        <f t="shared" si="30"/>
        <v>75</v>
      </c>
      <c r="AA41">
        <v>5</v>
      </c>
      <c r="AB41">
        <v>4.3142791E-2</v>
      </c>
      <c r="AC41">
        <f t="shared" si="19"/>
        <v>0.19403418860561972</v>
      </c>
      <c r="AD41">
        <f t="shared" si="20"/>
        <v>0.80596581139438028</v>
      </c>
      <c r="AE41" s="7">
        <f t="shared" si="27"/>
        <v>65314.82064849358</v>
      </c>
      <c r="AF41" s="7">
        <f t="shared" si="21"/>
        <v>12673.308228452028</v>
      </c>
      <c r="AG41">
        <f t="shared" si="22"/>
        <v>294890.83267133788</v>
      </c>
      <c r="AH41">
        <f t="shared" si="23"/>
        <v>726484.57277164608</v>
      </c>
      <c r="AI41" s="9">
        <f t="shared" si="24"/>
        <v>11.122813559902223</v>
      </c>
    </row>
    <row r="42" spans="1:35" x14ac:dyDescent="0.4">
      <c r="A42" t="s">
        <v>22</v>
      </c>
      <c r="B42">
        <f t="shared" si="28"/>
        <v>80</v>
      </c>
      <c r="C42">
        <v>5</v>
      </c>
      <c r="D42">
        <v>8.4093851999999997E-2</v>
      </c>
      <c r="E42">
        <f t="shared" si="7"/>
        <v>0.34326143364444384</v>
      </c>
      <c r="F42">
        <f t="shared" si="8"/>
        <v>0.65673856635555616</v>
      </c>
      <c r="G42" s="7">
        <f t="shared" si="25"/>
        <v>49090.757264161759</v>
      </c>
      <c r="H42" s="7">
        <f t="shared" si="9"/>
        <v>16850.963717187562</v>
      </c>
      <c r="I42">
        <f t="shared" si="10"/>
        <v>203326.37702783989</v>
      </c>
      <c r="J42">
        <f t="shared" si="11"/>
        <v>393377.70823437395</v>
      </c>
      <c r="K42" s="9">
        <f t="shared" si="12"/>
        <v>8.0132743953729069</v>
      </c>
      <c r="M42" t="s">
        <v>22</v>
      </c>
      <c r="N42">
        <f t="shared" si="29"/>
        <v>80</v>
      </c>
      <c r="O42">
        <v>5</v>
      </c>
      <c r="P42">
        <v>8.7356349999999999E-2</v>
      </c>
      <c r="Q42">
        <f t="shared" si="13"/>
        <v>0.35388756993855208</v>
      </c>
      <c r="R42">
        <f t="shared" si="14"/>
        <v>0.64611243006144792</v>
      </c>
      <c r="S42" s="7">
        <f t="shared" si="26"/>
        <v>45965.759287046822</v>
      </c>
      <c r="T42" s="7">
        <f t="shared" si="15"/>
        <v>16266.710854473433</v>
      </c>
      <c r="U42">
        <f t="shared" si="16"/>
        <v>189162.0192990505</v>
      </c>
      <c r="V42">
        <f t="shared" si="17"/>
        <v>358882.22710114979</v>
      </c>
      <c r="W42" s="9">
        <f t="shared" si="18"/>
        <v>7.8075992362054381</v>
      </c>
      <c r="Y42" t="s">
        <v>22</v>
      </c>
      <c r="Z42">
        <f t="shared" si="30"/>
        <v>80</v>
      </c>
      <c r="AA42">
        <v>5</v>
      </c>
      <c r="AB42">
        <v>8.1061458000000003E-2</v>
      </c>
      <c r="AC42">
        <f t="shared" si="19"/>
        <v>0.33322811295860189</v>
      </c>
      <c r="AD42">
        <f t="shared" si="20"/>
        <v>0.66677188704139811</v>
      </c>
      <c r="AE42" s="7">
        <f t="shared" si="27"/>
        <v>52641.512420041552</v>
      </c>
      <c r="AF42" s="7">
        <f t="shared" si="21"/>
        <v>17541.631847017248</v>
      </c>
      <c r="AG42">
        <f t="shared" si="22"/>
        <v>219353.48248266464</v>
      </c>
      <c r="AH42">
        <f t="shared" si="23"/>
        <v>431593.74010030815</v>
      </c>
      <c r="AI42" s="9">
        <f t="shared" si="24"/>
        <v>8.1987336658661949</v>
      </c>
    </row>
    <row r="43" spans="1:35" x14ac:dyDescent="0.4">
      <c r="A43" t="s">
        <v>23</v>
      </c>
      <c r="B43">
        <f t="shared" si="28"/>
        <v>85</v>
      </c>
      <c r="C43" t="s">
        <v>39</v>
      </c>
      <c r="D43">
        <v>0.16963729399999999</v>
      </c>
      <c r="E43">
        <v>1</v>
      </c>
      <c r="F43">
        <f t="shared" si="8"/>
        <v>0</v>
      </c>
      <c r="G43" s="7">
        <f t="shared" si="25"/>
        <v>32239.793546974197</v>
      </c>
      <c r="H43" s="7">
        <f t="shared" si="9"/>
        <v>32239.793546974197</v>
      </c>
      <c r="I43">
        <f>G43/D43</f>
        <v>190051.33120653409</v>
      </c>
      <c r="J43">
        <f t="shared" si="11"/>
        <v>190051.33120653409</v>
      </c>
      <c r="K43" s="9">
        <f t="shared" si="12"/>
        <v>5.8949301561011698</v>
      </c>
      <c r="M43" t="s">
        <v>23</v>
      </c>
      <c r="N43">
        <f t="shared" si="29"/>
        <v>85</v>
      </c>
      <c r="O43" t="s">
        <v>39</v>
      </c>
      <c r="P43">
        <v>0.17498828699999999</v>
      </c>
      <c r="Q43">
        <v>1</v>
      </c>
      <c r="R43">
        <f t="shared" si="14"/>
        <v>0</v>
      </c>
      <c r="S43" s="7">
        <f t="shared" si="26"/>
        <v>29699.048432573389</v>
      </c>
      <c r="T43" s="7">
        <f t="shared" si="15"/>
        <v>29699.048432573389</v>
      </c>
      <c r="U43">
        <f>S43/P43</f>
        <v>169720.20780209929</v>
      </c>
      <c r="V43">
        <f t="shared" si="17"/>
        <v>169720.20780209929</v>
      </c>
      <c r="W43" s="9">
        <f t="shared" si="18"/>
        <v>5.7146682051925</v>
      </c>
      <c r="Y43" t="s">
        <v>23</v>
      </c>
      <c r="Z43">
        <f t="shared" si="30"/>
        <v>85</v>
      </c>
      <c r="AA43" t="s">
        <v>39</v>
      </c>
      <c r="AB43">
        <v>0.165378053</v>
      </c>
      <c r="AC43">
        <v>1</v>
      </c>
      <c r="AD43">
        <f t="shared" si="20"/>
        <v>0</v>
      </c>
      <c r="AE43" s="7">
        <f t="shared" si="27"/>
        <v>35099.880573024304</v>
      </c>
      <c r="AF43" s="7">
        <f t="shared" si="21"/>
        <v>35099.880573024304</v>
      </c>
      <c r="AG43">
        <f>AE43/AB43</f>
        <v>212240.25761764351</v>
      </c>
      <c r="AH43">
        <f t="shared" si="23"/>
        <v>212240.25761764351</v>
      </c>
      <c r="AI43" s="9">
        <f t="shared" si="24"/>
        <v>6.0467515601964426</v>
      </c>
    </row>
  </sheetData>
  <mergeCells count="4">
    <mergeCell ref="C1:E1"/>
    <mergeCell ref="F1:H1"/>
    <mergeCell ref="J1:L1"/>
    <mergeCell ref="M1:O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CC4F-F6E5-44C6-A766-C4C83EF43E34}">
  <dimension ref="A1:K43"/>
  <sheetViews>
    <sheetView topLeftCell="A25" workbookViewId="0">
      <selection activeCell="A24" sqref="A24:K43"/>
    </sheetView>
  </sheetViews>
  <sheetFormatPr defaultRowHeight="14.6" x14ac:dyDescent="0.4"/>
  <sheetData>
    <row r="1" spans="1:9" x14ac:dyDescent="0.4">
      <c r="B1" t="s">
        <v>25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4.1262110000000003E-3</v>
      </c>
      <c r="E3">
        <v>4.566082E-3</v>
      </c>
      <c r="F3">
        <v>3.6610660000000001E-3</v>
      </c>
      <c r="G3">
        <v>4.1109440000000001E-3</v>
      </c>
      <c r="H3">
        <v>4.5473950000000001E-3</v>
      </c>
      <c r="I3">
        <v>3.6490419999999999E-3</v>
      </c>
    </row>
    <row r="4" spans="1:9" x14ac:dyDescent="0.4">
      <c r="A4">
        <v>1</v>
      </c>
      <c r="B4">
        <v>4</v>
      </c>
      <c r="C4" t="s">
        <v>6</v>
      </c>
      <c r="D4">
        <v>3.27659E-4</v>
      </c>
      <c r="E4">
        <v>3.5619800000000001E-4</v>
      </c>
      <c r="F4">
        <v>2.9751799999999998E-4</v>
      </c>
      <c r="G4">
        <v>1.309607E-3</v>
      </c>
      <c r="H4">
        <v>1.423576E-3</v>
      </c>
      <c r="I4">
        <v>1.1892230000000001E-3</v>
      </c>
    </row>
    <row r="5" spans="1:9" x14ac:dyDescent="0.4">
      <c r="A5">
        <v>5</v>
      </c>
      <c r="B5">
        <v>5</v>
      </c>
      <c r="C5" t="s">
        <v>7</v>
      </c>
      <c r="D5">
        <v>1.84043E-4</v>
      </c>
      <c r="E5">
        <v>2.0006900000000001E-4</v>
      </c>
      <c r="F5">
        <v>1.67109E-4</v>
      </c>
      <c r="G5">
        <v>9.1979099999999999E-4</v>
      </c>
      <c r="H5">
        <v>9.9984300000000004E-4</v>
      </c>
      <c r="I5">
        <v>8.3519699999999998E-4</v>
      </c>
    </row>
    <row r="6" spans="1:9" x14ac:dyDescent="0.4">
      <c r="A6">
        <f>A5+5</f>
        <v>10</v>
      </c>
      <c r="B6">
        <v>5</v>
      </c>
      <c r="C6" t="s">
        <v>8</v>
      </c>
      <c r="D6">
        <v>2.1473099999999999E-4</v>
      </c>
      <c r="E6">
        <v>2.49986E-4</v>
      </c>
      <c r="F6">
        <v>1.77417E-4</v>
      </c>
      <c r="G6">
        <v>1.0730799999999999E-3</v>
      </c>
      <c r="H6">
        <v>1.2491500000000001E-3</v>
      </c>
      <c r="I6">
        <v>8.86691E-4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3.8882599999999999E-4</v>
      </c>
      <c r="E7">
        <v>4.6975400000000002E-4</v>
      </c>
      <c r="F7">
        <v>3.0323699999999998E-4</v>
      </c>
      <c r="G7">
        <v>1.942243E-3</v>
      </c>
      <c r="H7">
        <v>2.3460149999999999E-3</v>
      </c>
      <c r="I7">
        <v>1.5150350000000001E-3</v>
      </c>
    </row>
    <row r="8" spans="1:9" x14ac:dyDescent="0.4">
      <c r="A8">
        <f t="shared" si="0"/>
        <v>20</v>
      </c>
      <c r="B8">
        <v>5</v>
      </c>
      <c r="C8" t="s">
        <v>10</v>
      </c>
      <c r="D8">
        <v>5.1344300000000004E-4</v>
      </c>
      <c r="E8">
        <v>6.7978199999999998E-4</v>
      </c>
      <c r="F8">
        <v>3.3729700000000002E-4</v>
      </c>
      <c r="G8">
        <v>2.5639220000000002E-3</v>
      </c>
      <c r="H8">
        <v>3.3931439999999998E-3</v>
      </c>
      <c r="I8">
        <v>1.685062E-3</v>
      </c>
    </row>
    <row r="9" spans="1:9" x14ac:dyDescent="0.4">
      <c r="A9">
        <f t="shared" si="0"/>
        <v>25</v>
      </c>
      <c r="B9">
        <v>5</v>
      </c>
      <c r="C9" t="s">
        <v>11</v>
      </c>
      <c r="D9">
        <v>6.9132700000000004E-4</v>
      </c>
      <c r="E9">
        <v>9.2834099999999995E-4</v>
      </c>
      <c r="F9">
        <v>4.3818500000000001E-4</v>
      </c>
      <c r="G9">
        <v>3.4506710000000002E-3</v>
      </c>
      <c r="H9">
        <v>4.6309569999999998E-3</v>
      </c>
      <c r="I9">
        <v>2.188527E-3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8.6735600000000001E-4</v>
      </c>
      <c r="E10">
        <v>1.126843E-3</v>
      </c>
      <c r="F10">
        <v>5.9860000000000002E-4</v>
      </c>
      <c r="G10">
        <v>4.3273959999999998E-3</v>
      </c>
      <c r="H10">
        <v>5.61839E-3</v>
      </c>
      <c r="I10">
        <v>2.9885290000000002E-3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1.3140140000000001E-3</v>
      </c>
      <c r="E11">
        <v>1.612842E-3</v>
      </c>
      <c r="F11">
        <v>1.0047529999999999E-3</v>
      </c>
      <c r="G11">
        <v>6.548557E-3</v>
      </c>
      <c r="H11">
        <v>8.0318239999999999E-3</v>
      </c>
      <c r="I11">
        <v>5.0111770000000003E-3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1.850675E-3</v>
      </c>
      <c r="E12">
        <v>2.3942360000000001E-3</v>
      </c>
      <c r="F12">
        <v>1.2945879999999999E-3</v>
      </c>
      <c r="G12">
        <v>9.2107620000000008E-3</v>
      </c>
      <c r="H12">
        <v>1.1899949999999999E-2</v>
      </c>
      <c r="I12">
        <v>6.4520569999999998E-3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2.7636119999999999E-3</v>
      </c>
      <c r="E13">
        <v>3.670675E-3</v>
      </c>
      <c r="F13">
        <v>1.855893E-3</v>
      </c>
      <c r="G13">
        <v>1.3723248E-2</v>
      </c>
      <c r="H13">
        <v>1.8186484999999999E-2</v>
      </c>
      <c r="I13">
        <v>9.2366119999999999E-3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4.4399189999999996E-3</v>
      </c>
      <c r="E14">
        <v>5.9460779999999996E-3</v>
      </c>
      <c r="F14">
        <v>2.9982749999999999E-3</v>
      </c>
      <c r="G14">
        <v>2.1955887E-2</v>
      </c>
      <c r="H14">
        <v>2.9294915000000001E-2</v>
      </c>
      <c r="I14">
        <v>1.4879843E-2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8.0919930000000004E-3</v>
      </c>
      <c r="E15">
        <v>1.0610803E-2</v>
      </c>
      <c r="F15">
        <v>5.7129329999999999E-3</v>
      </c>
      <c r="G15">
        <v>3.9657688000000003E-2</v>
      </c>
      <c r="H15">
        <v>5.1683017999999997E-2</v>
      </c>
      <c r="I15">
        <v>2.8162441999999999E-2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1.2097132999999999E-2</v>
      </c>
      <c r="E16">
        <v>1.5462224E-2</v>
      </c>
      <c r="F16">
        <v>8.9885810000000007E-3</v>
      </c>
      <c r="G16">
        <v>5.8710106999999997E-2</v>
      </c>
      <c r="H16">
        <v>7.4433840000000001E-2</v>
      </c>
      <c r="I16">
        <v>4.3955169000000002E-2</v>
      </c>
    </row>
    <row r="17" spans="1:11" x14ac:dyDescent="0.4">
      <c r="A17">
        <f t="shared" si="0"/>
        <v>65</v>
      </c>
      <c r="B17">
        <v>5</v>
      </c>
      <c r="C17" t="s">
        <v>19</v>
      </c>
      <c r="D17">
        <v>1.8987451999999998E-2</v>
      </c>
      <c r="E17">
        <v>2.3527006999999999E-2</v>
      </c>
      <c r="F17">
        <v>1.4958008E-2</v>
      </c>
      <c r="G17">
        <v>9.0634943999999995E-2</v>
      </c>
      <c r="H17">
        <v>0.111100386</v>
      </c>
      <c r="I17">
        <v>7.2094079000000005E-2</v>
      </c>
    </row>
    <row r="18" spans="1:11" x14ac:dyDescent="0.4">
      <c r="A18">
        <f t="shared" si="0"/>
        <v>70</v>
      </c>
      <c r="B18">
        <v>5</v>
      </c>
      <c r="C18" t="s">
        <v>20</v>
      </c>
      <c r="D18">
        <v>3.0058893E-2</v>
      </c>
      <c r="E18">
        <v>3.7286719000000003E-2</v>
      </c>
      <c r="F18">
        <v>2.3661640000000001E-2</v>
      </c>
      <c r="G18">
        <v>0.13978965900000001</v>
      </c>
      <c r="H18">
        <v>0.17053670900000001</v>
      </c>
      <c r="I18">
        <v>0.111700647</v>
      </c>
    </row>
    <row r="19" spans="1:11" x14ac:dyDescent="0.4">
      <c r="A19">
        <f t="shared" si="0"/>
        <v>75</v>
      </c>
      <c r="B19">
        <v>5</v>
      </c>
      <c r="C19" t="s">
        <v>21</v>
      </c>
      <c r="D19">
        <v>4.5198503000000001E-2</v>
      </c>
      <c r="E19">
        <v>5.5265778000000002E-2</v>
      </c>
      <c r="F19">
        <v>3.6706352999999997E-2</v>
      </c>
      <c r="G19">
        <v>0.20304876599999999</v>
      </c>
      <c r="H19">
        <v>0.24278468</v>
      </c>
      <c r="I19">
        <v>0.168105422</v>
      </c>
    </row>
    <row r="20" spans="1:11" x14ac:dyDescent="0.4">
      <c r="A20">
        <f t="shared" si="0"/>
        <v>80</v>
      </c>
      <c r="B20">
        <v>5</v>
      </c>
      <c r="C20" t="s">
        <v>22</v>
      </c>
      <c r="D20">
        <v>7.0208572999999996E-2</v>
      </c>
      <c r="E20">
        <v>8.2895365999999998E-2</v>
      </c>
      <c r="F20">
        <v>6.0399162999999999E-2</v>
      </c>
      <c r="G20">
        <v>0.29862736299999998</v>
      </c>
      <c r="H20">
        <v>0.34332640800000003</v>
      </c>
      <c r="I20">
        <v>0.26237737799999999</v>
      </c>
    </row>
    <row r="21" spans="1:11" x14ac:dyDescent="0.4">
      <c r="A21">
        <f t="shared" si="0"/>
        <v>85</v>
      </c>
      <c r="B21" t="s">
        <v>39</v>
      </c>
      <c r="C21" t="s">
        <v>23</v>
      </c>
      <c r="D21">
        <v>0.149429443</v>
      </c>
      <c r="E21">
        <v>0.16342312000000001</v>
      </c>
      <c r="F21">
        <v>0.13977017</v>
      </c>
      <c r="G21">
        <v>1</v>
      </c>
      <c r="H21">
        <v>1</v>
      </c>
      <c r="I21">
        <v>1</v>
      </c>
    </row>
    <row r="24" spans="1:11" x14ac:dyDescent="0.4">
      <c r="A24" t="s">
        <v>1</v>
      </c>
      <c r="B24" t="s">
        <v>37</v>
      </c>
      <c r="C24" t="s">
        <v>38</v>
      </c>
      <c r="D24" s="2" t="s">
        <v>40</v>
      </c>
      <c r="E24" s="2" t="s">
        <v>41</v>
      </c>
      <c r="F24" s="2" t="s">
        <v>44</v>
      </c>
      <c r="G24" s="2" t="s">
        <v>45</v>
      </c>
      <c r="H24" s="2" t="s">
        <v>46</v>
      </c>
      <c r="I24" s="2" t="s">
        <v>47</v>
      </c>
      <c r="J24" s="2" t="s">
        <v>48</v>
      </c>
      <c r="K24" s="2" t="s">
        <v>49</v>
      </c>
    </row>
    <row r="25" spans="1:11" x14ac:dyDescent="0.4">
      <c r="A25" t="s">
        <v>5</v>
      </c>
      <c r="B25">
        <v>0</v>
      </c>
      <c r="C25">
        <v>1</v>
      </c>
      <c r="G25" s="7"/>
      <c r="H25" s="7"/>
    </row>
    <row r="26" spans="1:11" x14ac:dyDescent="0.4">
      <c r="A26" t="s">
        <v>6</v>
      </c>
      <c r="B26">
        <v>1</v>
      </c>
      <c r="C26">
        <v>4</v>
      </c>
      <c r="G26" s="7"/>
      <c r="H26" s="7"/>
    </row>
    <row r="27" spans="1:11" x14ac:dyDescent="0.4">
      <c r="A27" t="s">
        <v>7</v>
      </c>
      <c r="B27">
        <v>5</v>
      </c>
      <c r="C27">
        <v>5</v>
      </c>
      <c r="G27" s="7"/>
      <c r="H27" s="7"/>
    </row>
    <row r="28" spans="1:11" x14ac:dyDescent="0.4">
      <c r="A28" t="s">
        <v>8</v>
      </c>
      <c r="B28">
        <f>B27+5</f>
        <v>10</v>
      </c>
      <c r="C28">
        <v>5</v>
      </c>
      <c r="G28" s="7"/>
      <c r="H28" s="7"/>
    </row>
    <row r="29" spans="1:11" x14ac:dyDescent="0.4">
      <c r="A29" t="s">
        <v>9</v>
      </c>
      <c r="B29">
        <f t="shared" ref="B29:B43" si="1">B28+5</f>
        <v>15</v>
      </c>
      <c r="C29">
        <v>5</v>
      </c>
      <c r="G29" s="7"/>
      <c r="H29" s="7"/>
    </row>
    <row r="30" spans="1:11" x14ac:dyDescent="0.4">
      <c r="A30" t="s">
        <v>10</v>
      </c>
      <c r="B30">
        <f t="shared" si="1"/>
        <v>20</v>
      </c>
      <c r="C30">
        <v>5</v>
      </c>
      <c r="G30" s="7"/>
      <c r="H30" s="7"/>
    </row>
    <row r="31" spans="1:11" x14ac:dyDescent="0.4">
      <c r="A31" t="s">
        <v>11</v>
      </c>
      <c r="B31">
        <f t="shared" si="1"/>
        <v>25</v>
      </c>
      <c r="C31">
        <v>5</v>
      </c>
      <c r="G31" s="7"/>
      <c r="H31" s="7"/>
    </row>
    <row r="32" spans="1:11" x14ac:dyDescent="0.4">
      <c r="A32" t="s">
        <v>12</v>
      </c>
      <c r="B32">
        <f t="shared" si="1"/>
        <v>30</v>
      </c>
      <c r="C32">
        <v>5</v>
      </c>
      <c r="G32" s="7"/>
      <c r="H32" s="7"/>
    </row>
    <row r="33" spans="1:8" x14ac:dyDescent="0.4">
      <c r="A33" t="s">
        <v>13</v>
      </c>
      <c r="B33">
        <f t="shared" si="1"/>
        <v>35</v>
      </c>
      <c r="C33">
        <v>5</v>
      </c>
      <c r="G33" s="7"/>
      <c r="H33" s="7"/>
    </row>
    <row r="34" spans="1:8" x14ac:dyDescent="0.4">
      <c r="A34" t="s">
        <v>14</v>
      </c>
      <c r="B34">
        <f t="shared" si="1"/>
        <v>40</v>
      </c>
      <c r="C34">
        <v>5</v>
      </c>
      <c r="G34" s="7"/>
      <c r="H34" s="7"/>
    </row>
    <row r="35" spans="1:8" x14ac:dyDescent="0.4">
      <c r="A35" t="s">
        <v>15</v>
      </c>
      <c r="B35">
        <f t="shared" si="1"/>
        <v>45</v>
      </c>
      <c r="C35">
        <v>5</v>
      </c>
      <c r="G35" s="7"/>
      <c r="H35" s="7"/>
    </row>
    <row r="36" spans="1:8" x14ac:dyDescent="0.4">
      <c r="A36" t="s">
        <v>16</v>
      </c>
      <c r="B36">
        <f t="shared" si="1"/>
        <v>50</v>
      </c>
      <c r="C36">
        <v>5</v>
      </c>
      <c r="G36" s="7"/>
      <c r="H36" s="7"/>
    </row>
    <row r="37" spans="1:8" x14ac:dyDescent="0.4">
      <c r="A37" t="s">
        <v>17</v>
      </c>
      <c r="B37">
        <f t="shared" si="1"/>
        <v>55</v>
      </c>
      <c r="C37">
        <v>5</v>
      </c>
      <c r="G37" s="7"/>
      <c r="H37" s="7"/>
    </row>
    <row r="38" spans="1:8" x14ac:dyDescent="0.4">
      <c r="A38" t="s">
        <v>18</v>
      </c>
      <c r="B38">
        <f t="shared" si="1"/>
        <v>60</v>
      </c>
      <c r="C38">
        <v>5</v>
      </c>
      <c r="G38" s="7"/>
      <c r="H38" s="7"/>
    </row>
    <row r="39" spans="1:8" x14ac:dyDescent="0.4">
      <c r="A39" t="s">
        <v>19</v>
      </c>
      <c r="B39">
        <f t="shared" si="1"/>
        <v>65</v>
      </c>
      <c r="C39">
        <v>5</v>
      </c>
      <c r="G39" s="7"/>
      <c r="H39" s="7"/>
    </row>
    <row r="40" spans="1:8" x14ac:dyDescent="0.4">
      <c r="A40" t="s">
        <v>20</v>
      </c>
      <c r="B40">
        <f t="shared" si="1"/>
        <v>70</v>
      </c>
      <c r="C40">
        <v>5</v>
      </c>
      <c r="G40" s="7"/>
      <c r="H40" s="7"/>
    </row>
    <row r="41" spans="1:8" x14ac:dyDescent="0.4">
      <c r="A41" t="s">
        <v>21</v>
      </c>
      <c r="B41">
        <f t="shared" si="1"/>
        <v>75</v>
      </c>
      <c r="C41">
        <v>5</v>
      </c>
      <c r="G41" s="7"/>
      <c r="H41" s="7"/>
    </row>
    <row r="42" spans="1:8" x14ac:dyDescent="0.4">
      <c r="A42" t="s">
        <v>22</v>
      </c>
      <c r="B42">
        <f t="shared" si="1"/>
        <v>80</v>
      </c>
      <c r="C42">
        <v>5</v>
      </c>
      <c r="G42" s="7"/>
      <c r="H42" s="7"/>
    </row>
    <row r="43" spans="1:8" x14ac:dyDescent="0.4">
      <c r="A43" t="s">
        <v>23</v>
      </c>
      <c r="B43">
        <f t="shared" si="1"/>
        <v>85</v>
      </c>
      <c r="C43" t="s">
        <v>39</v>
      </c>
      <c r="G43" s="7"/>
      <c r="H43" s="7"/>
    </row>
  </sheetData>
  <mergeCells count="2">
    <mergeCell ref="D1:F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45FF-1C35-4291-A40E-220487DF399B}">
  <dimension ref="A1:K45"/>
  <sheetViews>
    <sheetView topLeftCell="A26" workbookViewId="0">
      <selection activeCell="A26" sqref="A26:K45"/>
    </sheetView>
  </sheetViews>
  <sheetFormatPr defaultRowHeight="14.6" x14ac:dyDescent="0.4"/>
  <sheetData>
    <row r="1" spans="1:9" x14ac:dyDescent="0.4">
      <c r="B1" t="s">
        <v>26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5.5204319999999996E-3</v>
      </c>
      <c r="E3">
        <v>5.9996659999999999E-3</v>
      </c>
      <c r="F3">
        <v>5.0195329999999996E-3</v>
      </c>
      <c r="G3">
        <v>5.4931399999999997E-3</v>
      </c>
      <c r="H3">
        <v>5.9674439999999997E-3</v>
      </c>
      <c r="I3">
        <v>4.9969589999999996E-3</v>
      </c>
    </row>
    <row r="4" spans="1:9" x14ac:dyDescent="0.4">
      <c r="A4">
        <v>1</v>
      </c>
      <c r="B4">
        <v>4</v>
      </c>
      <c r="C4" t="s">
        <v>6</v>
      </c>
      <c r="D4">
        <v>2.27104E-4</v>
      </c>
      <c r="E4">
        <v>2.5159299999999999E-4</v>
      </c>
      <c r="F4">
        <v>2.0150499999999999E-4</v>
      </c>
      <c r="G4">
        <v>9.0792200000000003E-4</v>
      </c>
      <c r="H4">
        <v>1.005766E-3</v>
      </c>
      <c r="I4">
        <v>8.0563E-4</v>
      </c>
    </row>
    <row r="5" spans="1:9" x14ac:dyDescent="0.4">
      <c r="A5">
        <v>5</v>
      </c>
      <c r="B5">
        <v>5</v>
      </c>
      <c r="C5" t="s">
        <v>7</v>
      </c>
      <c r="D5">
        <v>1.21978E-4</v>
      </c>
      <c r="E5">
        <v>1.35127E-4</v>
      </c>
      <c r="F5">
        <v>1.08226E-4</v>
      </c>
      <c r="G5">
        <v>6.0970299999999996E-4</v>
      </c>
      <c r="H5">
        <v>6.7540899999999997E-4</v>
      </c>
      <c r="I5">
        <v>5.4098099999999995E-4</v>
      </c>
    </row>
    <row r="6" spans="1:9" x14ac:dyDescent="0.4">
      <c r="A6">
        <f>A5+5</f>
        <v>10</v>
      </c>
      <c r="B6">
        <v>5</v>
      </c>
      <c r="C6" t="s">
        <v>8</v>
      </c>
      <c r="D6">
        <v>1.52585E-4</v>
      </c>
      <c r="E6">
        <v>1.7815299999999999E-4</v>
      </c>
      <c r="F6">
        <v>1.2587000000000001E-4</v>
      </c>
      <c r="G6">
        <v>7.6263500000000001E-4</v>
      </c>
      <c r="H6">
        <v>8.90368E-4</v>
      </c>
      <c r="I6">
        <v>6.2915200000000001E-4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4.7738300000000001E-4</v>
      </c>
      <c r="E7">
        <v>6.6134099999999997E-4</v>
      </c>
      <c r="F7">
        <v>2.8593800000000001E-4</v>
      </c>
      <c r="G7">
        <v>2.384068E-3</v>
      </c>
      <c r="H7">
        <v>3.3012459999999999E-3</v>
      </c>
      <c r="I7">
        <v>1.428669E-3</v>
      </c>
    </row>
    <row r="8" spans="1:9" x14ac:dyDescent="0.4">
      <c r="A8">
        <f t="shared" si="0"/>
        <v>20</v>
      </c>
      <c r="B8">
        <v>5</v>
      </c>
      <c r="C8" t="s">
        <v>10</v>
      </c>
      <c r="D8">
        <v>8.98335E-4</v>
      </c>
      <c r="E8">
        <v>1.300168E-3</v>
      </c>
      <c r="F8">
        <v>4.8149999999999999E-4</v>
      </c>
      <c r="G8">
        <v>4.4816099999999996E-3</v>
      </c>
      <c r="H8">
        <v>6.4797769999999999E-3</v>
      </c>
      <c r="I8">
        <v>2.4046079999999999E-3</v>
      </c>
    </row>
    <row r="9" spans="1:9" x14ac:dyDescent="0.4">
      <c r="A9">
        <f t="shared" si="0"/>
        <v>25</v>
      </c>
      <c r="B9">
        <v>5</v>
      </c>
      <c r="C9" t="s">
        <v>11</v>
      </c>
      <c r="D9">
        <v>1.1652640000000001E-3</v>
      </c>
      <c r="E9">
        <v>1.6392550000000001E-3</v>
      </c>
      <c r="F9">
        <v>6.7231400000000003E-4</v>
      </c>
      <c r="G9">
        <v>5.8093939999999998E-3</v>
      </c>
      <c r="H9">
        <v>8.1628240000000008E-3</v>
      </c>
      <c r="I9">
        <v>3.35593E-3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1.482499E-3</v>
      </c>
      <c r="E10">
        <v>1.9661829999999998E-3</v>
      </c>
      <c r="F10">
        <v>9.84953E-4</v>
      </c>
      <c r="G10">
        <v>7.3851209999999997E-3</v>
      </c>
      <c r="H10">
        <v>9.7828289999999998E-3</v>
      </c>
      <c r="I10">
        <v>4.9126669999999999E-3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1.7847029999999999E-3</v>
      </c>
      <c r="E11">
        <v>2.287992E-3</v>
      </c>
      <c r="F11">
        <v>1.2781439999999999E-3</v>
      </c>
      <c r="G11">
        <v>8.8838800000000002E-3</v>
      </c>
      <c r="H11">
        <v>1.1374898E-2</v>
      </c>
      <c r="I11">
        <v>6.3703650000000002E-3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2.1243690000000001E-3</v>
      </c>
      <c r="E12">
        <v>2.633023E-3</v>
      </c>
      <c r="F12">
        <v>1.61936E-3</v>
      </c>
      <c r="G12">
        <v>1.0565732E-2</v>
      </c>
      <c r="H12">
        <v>1.3079019000000001E-2</v>
      </c>
      <c r="I12">
        <v>8.0641540000000005E-3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3.0423030000000001E-3</v>
      </c>
      <c r="E13">
        <v>3.664498E-3</v>
      </c>
      <c r="F13">
        <v>2.4248550000000001E-3</v>
      </c>
      <c r="G13">
        <v>1.5096694000000001E-2</v>
      </c>
      <c r="H13">
        <v>1.8156156E-2</v>
      </c>
      <c r="I13">
        <v>1.2051218000000001E-2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4.7887260000000001E-3</v>
      </c>
      <c r="E14">
        <v>5.707536E-3</v>
      </c>
      <c r="F14">
        <v>3.8632060000000001E-3</v>
      </c>
      <c r="G14">
        <v>2.3660370999999999E-2</v>
      </c>
      <c r="H14">
        <v>2.8136209999999998E-2</v>
      </c>
      <c r="I14">
        <v>1.9131261E-2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7.7995720000000003E-3</v>
      </c>
      <c r="E15">
        <v>9.4697659999999993E-3</v>
      </c>
      <c r="F15">
        <v>6.1572650000000003E-3</v>
      </c>
      <c r="G15">
        <v>3.8251986000000002E-2</v>
      </c>
      <c r="H15">
        <v>4.6253799999999998E-2</v>
      </c>
      <c r="I15">
        <v>3.031961E-2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1.0749544999999999E-2</v>
      </c>
      <c r="E16">
        <v>1.3442595E-2</v>
      </c>
      <c r="F16">
        <v>8.2111049999999998E-3</v>
      </c>
      <c r="G16">
        <v>5.2341116E-2</v>
      </c>
      <c r="H16">
        <v>6.5027625000000006E-2</v>
      </c>
      <c r="I16">
        <v>4.0229699000000001E-2</v>
      </c>
    </row>
    <row r="17" spans="1:11" x14ac:dyDescent="0.4">
      <c r="A17">
        <f t="shared" si="0"/>
        <v>65</v>
      </c>
      <c r="B17">
        <v>5</v>
      </c>
      <c r="C17" t="s">
        <v>19</v>
      </c>
      <c r="D17">
        <v>1.4893778999999999E-2</v>
      </c>
      <c r="E17">
        <v>1.8365065E-2</v>
      </c>
      <c r="F17">
        <v>1.1760425999999999E-2</v>
      </c>
      <c r="G17">
        <v>7.1795623000000003E-2</v>
      </c>
      <c r="H17">
        <v>8.7794448999999997E-2</v>
      </c>
      <c r="I17">
        <v>5.7122663999999997E-2</v>
      </c>
    </row>
    <row r="18" spans="1:11" x14ac:dyDescent="0.4">
      <c r="A18">
        <f t="shared" si="0"/>
        <v>70</v>
      </c>
      <c r="B18">
        <v>5</v>
      </c>
      <c r="C18" t="s">
        <v>20</v>
      </c>
      <c r="D18">
        <v>2.3422847E-2</v>
      </c>
      <c r="E18">
        <v>2.8976080000000001E-2</v>
      </c>
      <c r="F18">
        <v>1.8653920000000001E-2</v>
      </c>
      <c r="G18">
        <v>0.110635727</v>
      </c>
      <c r="H18">
        <v>0.135094151</v>
      </c>
      <c r="I18">
        <v>8.9113793999999996E-2</v>
      </c>
    </row>
    <row r="19" spans="1:11" x14ac:dyDescent="0.4">
      <c r="A19">
        <f t="shared" si="0"/>
        <v>75</v>
      </c>
      <c r="B19">
        <v>5</v>
      </c>
      <c r="C19" t="s">
        <v>21</v>
      </c>
      <c r="D19">
        <v>3.5503730999999997E-2</v>
      </c>
      <c r="E19">
        <v>4.1799360000000001E-2</v>
      </c>
      <c r="F19">
        <v>3.0455098E-2</v>
      </c>
      <c r="G19">
        <v>0.163046736</v>
      </c>
      <c r="H19">
        <v>0.189223269</v>
      </c>
      <c r="I19">
        <v>0.14150186000000001</v>
      </c>
    </row>
    <row r="20" spans="1:11" x14ac:dyDescent="0.4">
      <c r="A20">
        <f t="shared" si="0"/>
        <v>80</v>
      </c>
      <c r="B20">
        <v>5</v>
      </c>
      <c r="C20" t="s">
        <v>22</v>
      </c>
      <c r="D20">
        <v>5.7805256999999999E-2</v>
      </c>
      <c r="E20">
        <v>6.5844337000000003E-2</v>
      </c>
      <c r="F20">
        <v>5.1638251000000003E-2</v>
      </c>
      <c r="G20">
        <v>0.25253208199999999</v>
      </c>
      <c r="H20">
        <v>0.28268815200000003</v>
      </c>
      <c r="I20">
        <v>0.22867084800000001</v>
      </c>
    </row>
    <row r="21" spans="1:11" x14ac:dyDescent="0.4">
      <c r="A21">
        <f t="shared" si="0"/>
        <v>85</v>
      </c>
      <c r="B21" t="s">
        <v>39</v>
      </c>
      <c r="C21" t="s">
        <v>23</v>
      </c>
      <c r="D21">
        <v>0.138644292</v>
      </c>
      <c r="E21">
        <v>0.147244865</v>
      </c>
      <c r="F21">
        <v>0.13372952199999999</v>
      </c>
      <c r="G21">
        <v>1</v>
      </c>
      <c r="H21">
        <v>1</v>
      </c>
      <c r="I21">
        <v>1</v>
      </c>
    </row>
    <row r="26" spans="1:11" x14ac:dyDescent="0.4">
      <c r="A26" t="s">
        <v>1</v>
      </c>
      <c r="B26" t="s">
        <v>37</v>
      </c>
      <c r="C26" t="s">
        <v>38</v>
      </c>
      <c r="D26" s="2" t="s">
        <v>40</v>
      </c>
      <c r="E26" s="2" t="s">
        <v>41</v>
      </c>
      <c r="F26" s="2" t="s">
        <v>44</v>
      </c>
      <c r="G26" s="2" t="s">
        <v>45</v>
      </c>
      <c r="H26" s="2" t="s">
        <v>46</v>
      </c>
      <c r="I26" s="2" t="s">
        <v>47</v>
      </c>
      <c r="J26" s="2" t="s">
        <v>48</v>
      </c>
      <c r="K26" s="2" t="s">
        <v>49</v>
      </c>
    </row>
    <row r="27" spans="1:11" x14ac:dyDescent="0.4">
      <c r="A27" t="s">
        <v>5</v>
      </c>
      <c r="B27">
        <v>0</v>
      </c>
      <c r="C27">
        <v>1</v>
      </c>
      <c r="G27" s="7"/>
      <c r="H27" s="7"/>
    </row>
    <row r="28" spans="1:11" x14ac:dyDescent="0.4">
      <c r="A28" t="s">
        <v>6</v>
      </c>
      <c r="B28">
        <v>1</v>
      </c>
      <c r="C28">
        <v>4</v>
      </c>
      <c r="G28" s="7"/>
      <c r="H28" s="7"/>
    </row>
    <row r="29" spans="1:11" x14ac:dyDescent="0.4">
      <c r="A29" t="s">
        <v>7</v>
      </c>
      <c r="B29">
        <v>5</v>
      </c>
      <c r="C29">
        <v>5</v>
      </c>
      <c r="G29" s="7"/>
      <c r="H29" s="7"/>
    </row>
    <row r="30" spans="1:11" x14ac:dyDescent="0.4">
      <c r="A30" t="s">
        <v>8</v>
      </c>
      <c r="B30">
        <f>B29+5</f>
        <v>10</v>
      </c>
      <c r="C30">
        <v>5</v>
      </c>
      <c r="G30" s="7"/>
      <c r="H30" s="7"/>
    </row>
    <row r="31" spans="1:11" x14ac:dyDescent="0.4">
      <c r="A31" t="s">
        <v>9</v>
      </c>
      <c r="B31">
        <f t="shared" ref="B31:B45" si="1">B30+5</f>
        <v>15</v>
      </c>
      <c r="C31">
        <v>5</v>
      </c>
      <c r="G31" s="7"/>
      <c r="H31" s="7"/>
    </row>
    <row r="32" spans="1:11" x14ac:dyDescent="0.4">
      <c r="A32" t="s">
        <v>10</v>
      </c>
      <c r="B32">
        <f t="shared" si="1"/>
        <v>20</v>
      </c>
      <c r="C32">
        <v>5</v>
      </c>
      <c r="G32" s="7"/>
      <c r="H32" s="7"/>
    </row>
    <row r="33" spans="1:8" x14ac:dyDescent="0.4">
      <c r="A33" t="s">
        <v>11</v>
      </c>
      <c r="B33">
        <f t="shared" si="1"/>
        <v>25</v>
      </c>
      <c r="C33">
        <v>5</v>
      </c>
      <c r="G33" s="7"/>
      <c r="H33" s="7"/>
    </row>
    <row r="34" spans="1:8" x14ac:dyDescent="0.4">
      <c r="A34" t="s">
        <v>12</v>
      </c>
      <c r="B34">
        <f t="shared" si="1"/>
        <v>30</v>
      </c>
      <c r="C34">
        <v>5</v>
      </c>
      <c r="G34" s="7"/>
      <c r="H34" s="7"/>
    </row>
    <row r="35" spans="1:8" x14ac:dyDescent="0.4">
      <c r="A35" t="s">
        <v>13</v>
      </c>
      <c r="B35">
        <f t="shared" si="1"/>
        <v>35</v>
      </c>
      <c r="C35">
        <v>5</v>
      </c>
      <c r="G35" s="7"/>
      <c r="H35" s="7"/>
    </row>
    <row r="36" spans="1:8" x14ac:dyDescent="0.4">
      <c r="A36" t="s">
        <v>14</v>
      </c>
      <c r="B36">
        <f t="shared" si="1"/>
        <v>40</v>
      </c>
      <c r="C36">
        <v>5</v>
      </c>
      <c r="G36" s="7"/>
      <c r="H36" s="7"/>
    </row>
    <row r="37" spans="1:8" x14ac:dyDescent="0.4">
      <c r="A37" t="s">
        <v>15</v>
      </c>
      <c r="B37">
        <f t="shared" si="1"/>
        <v>45</v>
      </c>
      <c r="C37">
        <v>5</v>
      </c>
      <c r="G37" s="7"/>
      <c r="H37" s="7"/>
    </row>
    <row r="38" spans="1:8" x14ac:dyDescent="0.4">
      <c r="A38" t="s">
        <v>16</v>
      </c>
      <c r="B38">
        <f t="shared" si="1"/>
        <v>50</v>
      </c>
      <c r="C38">
        <v>5</v>
      </c>
      <c r="G38" s="7"/>
      <c r="H38" s="7"/>
    </row>
    <row r="39" spans="1:8" x14ac:dyDescent="0.4">
      <c r="A39" t="s">
        <v>17</v>
      </c>
      <c r="B39">
        <f t="shared" si="1"/>
        <v>55</v>
      </c>
      <c r="C39">
        <v>5</v>
      </c>
      <c r="G39" s="7"/>
      <c r="H39" s="7"/>
    </row>
    <row r="40" spans="1:8" x14ac:dyDescent="0.4">
      <c r="A40" t="s">
        <v>18</v>
      </c>
      <c r="B40">
        <f t="shared" si="1"/>
        <v>60</v>
      </c>
      <c r="C40">
        <v>5</v>
      </c>
      <c r="G40" s="7"/>
      <c r="H40" s="7"/>
    </row>
    <row r="41" spans="1:8" x14ac:dyDescent="0.4">
      <c r="A41" t="s">
        <v>19</v>
      </c>
      <c r="B41">
        <f t="shared" si="1"/>
        <v>65</v>
      </c>
      <c r="C41">
        <v>5</v>
      </c>
      <c r="G41" s="7"/>
      <c r="H41" s="7"/>
    </row>
    <row r="42" spans="1:8" x14ac:dyDescent="0.4">
      <c r="A42" t="s">
        <v>20</v>
      </c>
      <c r="B42">
        <f t="shared" si="1"/>
        <v>70</v>
      </c>
      <c r="C42">
        <v>5</v>
      </c>
      <c r="G42" s="7"/>
      <c r="H42" s="7"/>
    </row>
    <row r="43" spans="1:8" x14ac:dyDescent="0.4">
      <c r="A43" t="s">
        <v>21</v>
      </c>
      <c r="B43">
        <f t="shared" si="1"/>
        <v>75</v>
      </c>
      <c r="C43">
        <v>5</v>
      </c>
      <c r="G43" s="7"/>
      <c r="H43" s="7"/>
    </row>
    <row r="44" spans="1:8" x14ac:dyDescent="0.4">
      <c r="A44" t="s">
        <v>22</v>
      </c>
      <c r="B44">
        <f t="shared" si="1"/>
        <v>80</v>
      </c>
      <c r="C44">
        <v>5</v>
      </c>
      <c r="G44" s="7"/>
      <c r="H44" s="7"/>
    </row>
    <row r="45" spans="1:8" x14ac:dyDescent="0.4">
      <c r="A45" t="s">
        <v>23</v>
      </c>
      <c r="B45">
        <f t="shared" si="1"/>
        <v>85</v>
      </c>
      <c r="C45" t="s">
        <v>39</v>
      </c>
      <c r="G45" s="7"/>
      <c r="H45" s="7"/>
    </row>
  </sheetData>
  <mergeCells count="2">
    <mergeCell ref="D1:F1"/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572A-73C5-4E22-80F6-482C5F15E1F1}">
  <dimension ref="A1:K44"/>
  <sheetViews>
    <sheetView topLeftCell="A20" workbookViewId="0">
      <selection activeCell="A25" sqref="A25:K44"/>
    </sheetView>
  </sheetViews>
  <sheetFormatPr defaultRowHeight="14.6" x14ac:dyDescent="0.4"/>
  <sheetData>
    <row r="1" spans="1:9" x14ac:dyDescent="0.4">
      <c r="B1" t="s">
        <v>27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1.881862E-3</v>
      </c>
      <c r="E3">
        <v>1.967777E-3</v>
      </c>
      <c r="F3">
        <v>1.7911800000000001E-3</v>
      </c>
      <c r="G3">
        <v>1.87868E-3</v>
      </c>
      <c r="H3">
        <v>1.9642980000000002E-3</v>
      </c>
      <c r="I3">
        <v>1.7882970000000001E-3</v>
      </c>
    </row>
    <row r="4" spans="1:9" x14ac:dyDescent="0.4">
      <c r="A4">
        <v>1</v>
      </c>
      <c r="B4">
        <v>4</v>
      </c>
      <c r="C4" t="s">
        <v>6</v>
      </c>
      <c r="D4">
        <v>1.64716E-4</v>
      </c>
      <c r="E4">
        <v>1.7560000000000001E-4</v>
      </c>
      <c r="F4">
        <v>1.5322999999999999E-4</v>
      </c>
      <c r="G4">
        <v>6.5860199999999999E-4</v>
      </c>
      <c r="H4">
        <v>7.0210400000000005E-4</v>
      </c>
      <c r="I4">
        <v>6.1269700000000005E-4</v>
      </c>
    </row>
    <row r="5" spans="1:9" x14ac:dyDescent="0.4">
      <c r="A5">
        <v>5</v>
      </c>
      <c r="B5">
        <v>5</v>
      </c>
      <c r="C5" t="s">
        <v>7</v>
      </c>
      <c r="D5" s="1">
        <v>7.1099999999999994E-5</v>
      </c>
      <c r="E5" s="1">
        <v>7.5799999999999999E-5</v>
      </c>
      <c r="F5" s="1">
        <v>6.6199999999999996E-5</v>
      </c>
      <c r="G5">
        <v>3.5566200000000002E-4</v>
      </c>
      <c r="H5">
        <v>3.7916099999999998E-4</v>
      </c>
      <c r="I5">
        <v>3.30868E-4</v>
      </c>
    </row>
    <row r="6" spans="1:9" x14ac:dyDescent="0.4">
      <c r="A6">
        <f>A5+5</f>
        <v>10</v>
      </c>
      <c r="B6">
        <v>5</v>
      </c>
      <c r="C6" t="s">
        <v>8</v>
      </c>
      <c r="D6" s="1">
        <v>7.86E-5</v>
      </c>
      <c r="E6" s="1">
        <v>8.9900000000000003E-5</v>
      </c>
      <c r="F6" s="1">
        <v>6.6600000000000006E-5</v>
      </c>
      <c r="G6">
        <v>3.9272999999999999E-4</v>
      </c>
      <c r="H6">
        <v>4.4927900000000002E-4</v>
      </c>
      <c r="I6">
        <v>3.3307999999999998E-4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1.88495E-4</v>
      </c>
      <c r="E7">
        <v>2.5298200000000001E-4</v>
      </c>
      <c r="F7">
        <v>1.2052700000000001E-4</v>
      </c>
      <c r="G7">
        <v>9.4202999999999995E-4</v>
      </c>
      <c r="H7">
        <v>1.264112E-3</v>
      </c>
      <c r="I7">
        <v>6.0245199999999996E-4</v>
      </c>
    </row>
    <row r="8" spans="1:9" x14ac:dyDescent="0.4">
      <c r="A8">
        <f t="shared" si="0"/>
        <v>20</v>
      </c>
      <c r="B8">
        <v>5</v>
      </c>
      <c r="C8" t="s">
        <v>10</v>
      </c>
      <c r="D8">
        <v>3.2078400000000001E-4</v>
      </c>
      <c r="E8">
        <v>4.51395E-4</v>
      </c>
      <c r="F8">
        <v>1.8332400000000001E-4</v>
      </c>
      <c r="G8">
        <v>1.602635E-3</v>
      </c>
      <c r="H8">
        <v>2.25443E-3</v>
      </c>
      <c r="I8">
        <v>9.1620099999999995E-4</v>
      </c>
    </row>
    <row r="9" spans="1:9" x14ac:dyDescent="0.4">
      <c r="A9">
        <f t="shared" si="0"/>
        <v>25</v>
      </c>
      <c r="B9">
        <v>5</v>
      </c>
      <c r="C9" t="s">
        <v>11</v>
      </c>
      <c r="D9">
        <v>3.3363000000000002E-4</v>
      </c>
      <c r="E9">
        <v>4.4812600000000003E-4</v>
      </c>
      <c r="F9">
        <v>2.1335000000000001E-4</v>
      </c>
      <c r="G9">
        <v>1.66676E-3</v>
      </c>
      <c r="H9">
        <v>2.2381229999999998E-3</v>
      </c>
      <c r="I9">
        <v>1.066181E-3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4.2548E-4</v>
      </c>
      <c r="E10">
        <v>5.5155000000000004E-4</v>
      </c>
      <c r="F10">
        <v>2.9331399999999998E-4</v>
      </c>
      <c r="G10">
        <v>2.125142E-3</v>
      </c>
      <c r="H10">
        <v>2.7539539999999999E-3</v>
      </c>
      <c r="I10">
        <v>1.4654939999999999E-3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5.6679799999999998E-4</v>
      </c>
      <c r="E11">
        <v>7.1350299999999999E-4</v>
      </c>
      <c r="F11">
        <v>4.1368299999999998E-4</v>
      </c>
      <c r="G11">
        <v>2.8299779999999999E-3</v>
      </c>
      <c r="H11">
        <v>3.5611620000000001E-3</v>
      </c>
      <c r="I11">
        <v>2.066277E-3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8.4782900000000003E-4</v>
      </c>
      <c r="E12">
        <v>1.032926E-3</v>
      </c>
      <c r="F12">
        <v>6.5625799999999995E-4</v>
      </c>
      <c r="G12">
        <v>4.2301780000000002E-3</v>
      </c>
      <c r="H12">
        <v>5.1513260000000003E-3</v>
      </c>
      <c r="I12">
        <v>3.2759130000000001E-3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1.4167310000000001E-3</v>
      </c>
      <c r="E13">
        <v>1.7457429999999999E-3</v>
      </c>
      <c r="F13">
        <v>1.0767610000000001E-3</v>
      </c>
      <c r="G13">
        <v>7.058656E-3</v>
      </c>
      <c r="H13">
        <v>8.690784E-3</v>
      </c>
      <c r="I13">
        <v>5.3693500000000002E-3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2.2945159999999999E-3</v>
      </c>
      <c r="E14">
        <v>2.93538E-3</v>
      </c>
      <c r="F14">
        <v>1.643809E-3</v>
      </c>
      <c r="G14">
        <v>1.1407145E-2</v>
      </c>
      <c r="H14">
        <v>1.4569977E-2</v>
      </c>
      <c r="I14">
        <v>8.1854070000000004E-3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3.3916179999999999E-3</v>
      </c>
      <c r="E15">
        <v>4.4844869999999997E-3</v>
      </c>
      <c r="F15">
        <v>2.2859450000000002E-3</v>
      </c>
      <c r="G15">
        <v>1.6815510999999998E-2</v>
      </c>
      <c r="H15">
        <v>2.2173839000000001E-2</v>
      </c>
      <c r="I15">
        <v>1.1364776E-2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5.4081479999999998E-3</v>
      </c>
      <c r="E16">
        <v>7.4210109999999999E-3</v>
      </c>
      <c r="F16">
        <v>3.4150980000000001E-3</v>
      </c>
      <c r="G16">
        <v>2.6680015000000001E-2</v>
      </c>
      <c r="H16">
        <v>3.6429200000000002E-2</v>
      </c>
      <c r="I16">
        <v>1.6930938E-2</v>
      </c>
    </row>
    <row r="17" spans="1:11" x14ac:dyDescent="0.4">
      <c r="A17">
        <f t="shared" si="0"/>
        <v>65</v>
      </c>
      <c r="B17">
        <v>5</v>
      </c>
      <c r="C17" t="s">
        <v>19</v>
      </c>
      <c r="D17">
        <v>9.5302949999999994E-3</v>
      </c>
      <c r="E17">
        <v>1.3597791999999999E-2</v>
      </c>
      <c r="F17">
        <v>5.6600820000000003E-3</v>
      </c>
      <c r="G17">
        <v>4.6542563000000002E-2</v>
      </c>
      <c r="H17">
        <v>6.5753696E-2</v>
      </c>
      <c r="I17">
        <v>2.7905541999999998E-2</v>
      </c>
    </row>
    <row r="18" spans="1:11" x14ac:dyDescent="0.4">
      <c r="A18">
        <f t="shared" si="0"/>
        <v>70</v>
      </c>
      <c r="B18">
        <v>5</v>
      </c>
      <c r="C18" t="s">
        <v>20</v>
      </c>
      <c r="D18">
        <v>1.2775025000000001E-2</v>
      </c>
      <c r="E18">
        <v>1.8523168E-2</v>
      </c>
      <c r="F18">
        <v>7.6545830000000004E-3</v>
      </c>
      <c r="G18">
        <v>6.1898244999999998E-2</v>
      </c>
      <c r="H18">
        <v>8.8516812E-2</v>
      </c>
      <c r="I18">
        <v>3.7554259999999999E-2</v>
      </c>
    </row>
    <row r="19" spans="1:11" x14ac:dyDescent="0.4">
      <c r="A19">
        <f t="shared" si="0"/>
        <v>75</v>
      </c>
      <c r="B19">
        <v>5</v>
      </c>
      <c r="C19" t="s">
        <v>21</v>
      </c>
      <c r="D19">
        <v>2.2959446000000001E-2</v>
      </c>
      <c r="E19">
        <v>3.2807273999999997E-2</v>
      </c>
      <c r="F19">
        <v>1.50379E-2</v>
      </c>
      <c r="G19">
        <v>0.108565708</v>
      </c>
      <c r="H19">
        <v>0.151602232</v>
      </c>
      <c r="I19">
        <v>7.2465190999999998E-2</v>
      </c>
    </row>
    <row r="20" spans="1:11" x14ac:dyDescent="0.4">
      <c r="A20">
        <f t="shared" si="0"/>
        <v>80</v>
      </c>
      <c r="B20">
        <v>5</v>
      </c>
      <c r="C20" t="s">
        <v>22</v>
      </c>
      <c r="D20">
        <v>4.3537859999999998E-2</v>
      </c>
      <c r="E20">
        <v>6.1522949E-2</v>
      </c>
      <c r="F20">
        <v>3.0966477999999999E-2</v>
      </c>
      <c r="G20">
        <v>0.196320827</v>
      </c>
      <c r="H20">
        <v>0.26660840699999999</v>
      </c>
      <c r="I20">
        <v>0.14370713199999999</v>
      </c>
    </row>
    <row r="21" spans="1:11" x14ac:dyDescent="0.4">
      <c r="A21">
        <f t="shared" si="0"/>
        <v>85</v>
      </c>
      <c r="B21" t="s">
        <v>39</v>
      </c>
      <c r="C21" t="s">
        <v>23</v>
      </c>
      <c r="D21">
        <v>0.11127815000000001</v>
      </c>
      <c r="E21">
        <v>0.13574467300000001</v>
      </c>
      <c r="F21">
        <v>0.10010164100000001</v>
      </c>
      <c r="G21">
        <v>1</v>
      </c>
      <c r="H21">
        <v>1</v>
      </c>
      <c r="I21">
        <v>1</v>
      </c>
    </row>
    <row r="25" spans="1:11" x14ac:dyDescent="0.4">
      <c r="A25" t="s">
        <v>1</v>
      </c>
      <c r="B25" t="s">
        <v>37</v>
      </c>
      <c r="C25" t="s">
        <v>38</v>
      </c>
      <c r="D25" s="2" t="s">
        <v>40</v>
      </c>
      <c r="E25" s="2" t="s">
        <v>41</v>
      </c>
      <c r="F25" s="2" t="s">
        <v>44</v>
      </c>
      <c r="G25" s="2" t="s">
        <v>45</v>
      </c>
      <c r="H25" s="2" t="s">
        <v>46</v>
      </c>
      <c r="I25" s="2" t="s">
        <v>47</v>
      </c>
      <c r="J25" s="2" t="s">
        <v>48</v>
      </c>
      <c r="K25" s="2" t="s">
        <v>49</v>
      </c>
    </row>
    <row r="26" spans="1:11" x14ac:dyDescent="0.4">
      <c r="A26" t="s">
        <v>5</v>
      </c>
      <c r="B26">
        <v>0</v>
      </c>
      <c r="C26">
        <v>1</v>
      </c>
      <c r="G26" s="7"/>
      <c r="H26" s="7"/>
    </row>
    <row r="27" spans="1:11" x14ac:dyDescent="0.4">
      <c r="A27" t="s">
        <v>6</v>
      </c>
      <c r="B27">
        <v>1</v>
      </c>
      <c r="C27">
        <v>4</v>
      </c>
      <c r="G27" s="7"/>
      <c r="H27" s="7"/>
    </row>
    <row r="28" spans="1:11" x14ac:dyDescent="0.4">
      <c r="A28" t="s">
        <v>7</v>
      </c>
      <c r="B28">
        <v>5</v>
      </c>
      <c r="C28">
        <v>5</v>
      </c>
      <c r="G28" s="7"/>
      <c r="H28" s="7"/>
    </row>
    <row r="29" spans="1:11" x14ac:dyDescent="0.4">
      <c r="A29" t="s">
        <v>8</v>
      </c>
      <c r="B29">
        <f>B28+5</f>
        <v>10</v>
      </c>
      <c r="C29">
        <v>5</v>
      </c>
      <c r="G29" s="7"/>
      <c r="H29" s="7"/>
    </row>
    <row r="30" spans="1:11" x14ac:dyDescent="0.4">
      <c r="A30" t="s">
        <v>9</v>
      </c>
      <c r="B30">
        <f t="shared" ref="B30:B44" si="1">B29+5</f>
        <v>15</v>
      </c>
      <c r="C30">
        <v>5</v>
      </c>
      <c r="G30" s="7"/>
      <c r="H30" s="7"/>
    </row>
    <row r="31" spans="1:11" x14ac:dyDescent="0.4">
      <c r="A31" t="s">
        <v>10</v>
      </c>
      <c r="B31">
        <f t="shared" si="1"/>
        <v>20</v>
      </c>
      <c r="C31">
        <v>5</v>
      </c>
      <c r="G31" s="7"/>
      <c r="H31" s="7"/>
    </row>
    <row r="32" spans="1:11" x14ac:dyDescent="0.4">
      <c r="A32" t="s">
        <v>11</v>
      </c>
      <c r="B32">
        <f t="shared" si="1"/>
        <v>25</v>
      </c>
      <c r="C32">
        <v>5</v>
      </c>
      <c r="G32" s="7"/>
      <c r="H32" s="7"/>
    </row>
    <row r="33" spans="1:8" x14ac:dyDescent="0.4">
      <c r="A33" t="s">
        <v>12</v>
      </c>
      <c r="B33">
        <f t="shared" si="1"/>
        <v>30</v>
      </c>
      <c r="C33">
        <v>5</v>
      </c>
      <c r="G33" s="7"/>
      <c r="H33" s="7"/>
    </row>
    <row r="34" spans="1:8" x14ac:dyDescent="0.4">
      <c r="A34" t="s">
        <v>13</v>
      </c>
      <c r="B34">
        <f t="shared" si="1"/>
        <v>35</v>
      </c>
      <c r="C34">
        <v>5</v>
      </c>
      <c r="G34" s="7"/>
      <c r="H34" s="7"/>
    </row>
    <row r="35" spans="1:8" x14ac:dyDescent="0.4">
      <c r="A35" t="s">
        <v>14</v>
      </c>
      <c r="B35">
        <f t="shared" si="1"/>
        <v>40</v>
      </c>
      <c r="C35">
        <v>5</v>
      </c>
      <c r="G35" s="7"/>
      <c r="H35" s="7"/>
    </row>
    <row r="36" spans="1:8" x14ac:dyDescent="0.4">
      <c r="A36" t="s">
        <v>15</v>
      </c>
      <c r="B36">
        <f t="shared" si="1"/>
        <v>45</v>
      </c>
      <c r="C36">
        <v>5</v>
      </c>
      <c r="G36" s="7"/>
      <c r="H36" s="7"/>
    </row>
    <row r="37" spans="1:8" x14ac:dyDescent="0.4">
      <c r="A37" t="s">
        <v>16</v>
      </c>
      <c r="B37">
        <f t="shared" si="1"/>
        <v>50</v>
      </c>
      <c r="C37">
        <v>5</v>
      </c>
      <c r="G37" s="7"/>
      <c r="H37" s="7"/>
    </row>
    <row r="38" spans="1:8" x14ac:dyDescent="0.4">
      <c r="A38" t="s">
        <v>17</v>
      </c>
      <c r="B38">
        <f t="shared" si="1"/>
        <v>55</v>
      </c>
      <c r="C38">
        <v>5</v>
      </c>
      <c r="G38" s="7"/>
      <c r="H38" s="7"/>
    </row>
    <row r="39" spans="1:8" x14ac:dyDescent="0.4">
      <c r="A39" t="s">
        <v>18</v>
      </c>
      <c r="B39">
        <f t="shared" si="1"/>
        <v>60</v>
      </c>
      <c r="C39">
        <v>5</v>
      </c>
      <c r="G39" s="7"/>
      <c r="H39" s="7"/>
    </row>
    <row r="40" spans="1:8" x14ac:dyDescent="0.4">
      <c r="A40" t="s">
        <v>19</v>
      </c>
      <c r="B40">
        <f t="shared" si="1"/>
        <v>65</v>
      </c>
      <c r="C40">
        <v>5</v>
      </c>
      <c r="G40" s="7"/>
      <c r="H40" s="7"/>
    </row>
    <row r="41" spans="1:8" x14ac:dyDescent="0.4">
      <c r="A41" t="s">
        <v>20</v>
      </c>
      <c r="B41">
        <f t="shared" si="1"/>
        <v>70</v>
      </c>
      <c r="C41">
        <v>5</v>
      </c>
      <c r="G41" s="7"/>
      <c r="H41" s="7"/>
    </row>
    <row r="42" spans="1:8" x14ac:dyDescent="0.4">
      <c r="A42" t="s">
        <v>21</v>
      </c>
      <c r="B42">
        <f t="shared" si="1"/>
        <v>75</v>
      </c>
      <c r="C42">
        <v>5</v>
      </c>
      <c r="G42" s="7"/>
      <c r="H42" s="7"/>
    </row>
    <row r="43" spans="1:8" x14ac:dyDescent="0.4">
      <c r="A43" t="s">
        <v>22</v>
      </c>
      <c r="B43">
        <f t="shared" si="1"/>
        <v>80</v>
      </c>
      <c r="C43">
        <v>5</v>
      </c>
      <c r="G43" s="7"/>
      <c r="H43" s="7"/>
    </row>
    <row r="44" spans="1:8" x14ac:dyDescent="0.4">
      <c r="A44" t="s">
        <v>23</v>
      </c>
      <c r="B44">
        <f t="shared" si="1"/>
        <v>85</v>
      </c>
      <c r="C44" t="s">
        <v>39</v>
      </c>
      <c r="G44" s="7"/>
      <c r="H44" s="7"/>
    </row>
  </sheetData>
  <mergeCells count="2">
    <mergeCell ref="D1:F1"/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6A85-3ED2-4930-88AC-0B88038625A7}">
  <dimension ref="A1:K43"/>
  <sheetViews>
    <sheetView topLeftCell="A18" workbookViewId="0">
      <selection activeCell="A24" sqref="A24:K43"/>
    </sheetView>
  </sheetViews>
  <sheetFormatPr defaultRowHeight="14.6" x14ac:dyDescent="0.4"/>
  <sheetData>
    <row r="1" spans="1:9" x14ac:dyDescent="0.4">
      <c r="B1" t="s">
        <v>29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1.881862E-3</v>
      </c>
      <c r="E3">
        <v>1.967777E-3</v>
      </c>
      <c r="F3">
        <v>1.7911800000000001E-3</v>
      </c>
      <c r="G3">
        <v>1.87868E-3</v>
      </c>
      <c r="H3">
        <v>1.9642980000000002E-3</v>
      </c>
      <c r="I3">
        <v>1.7882970000000001E-3</v>
      </c>
    </row>
    <row r="4" spans="1:9" x14ac:dyDescent="0.4">
      <c r="A4">
        <v>1</v>
      </c>
      <c r="B4">
        <v>4</v>
      </c>
      <c r="C4" t="s">
        <v>6</v>
      </c>
      <c r="D4">
        <v>1.64716E-4</v>
      </c>
      <c r="E4">
        <v>1.7560000000000001E-4</v>
      </c>
      <c r="F4">
        <v>1.5322999999999999E-4</v>
      </c>
      <c r="G4">
        <v>6.5860199999999999E-4</v>
      </c>
      <c r="H4">
        <v>7.0210400000000005E-4</v>
      </c>
      <c r="I4">
        <v>6.1269700000000005E-4</v>
      </c>
    </row>
    <row r="5" spans="1:9" x14ac:dyDescent="0.4">
      <c r="A5">
        <v>5</v>
      </c>
      <c r="B5">
        <v>5</v>
      </c>
      <c r="C5" t="s">
        <v>7</v>
      </c>
      <c r="D5" s="1">
        <v>7.1099999999999994E-5</v>
      </c>
      <c r="E5" s="1">
        <v>7.5799999999999999E-5</v>
      </c>
      <c r="F5" s="1">
        <v>6.6199999999999996E-5</v>
      </c>
      <c r="G5">
        <v>3.5566200000000002E-4</v>
      </c>
      <c r="H5">
        <v>3.7916099999999998E-4</v>
      </c>
      <c r="I5">
        <v>3.30868E-4</v>
      </c>
    </row>
    <row r="6" spans="1:9" x14ac:dyDescent="0.4">
      <c r="A6">
        <f>A5+5</f>
        <v>10</v>
      </c>
      <c r="B6">
        <v>5</v>
      </c>
      <c r="C6" t="s">
        <v>8</v>
      </c>
      <c r="D6" s="1">
        <v>7.86E-5</v>
      </c>
      <c r="E6" s="1">
        <v>8.9900000000000003E-5</v>
      </c>
      <c r="F6" s="1">
        <v>6.6600000000000006E-5</v>
      </c>
      <c r="G6">
        <v>3.9272999999999999E-4</v>
      </c>
      <c r="H6">
        <v>4.4927900000000002E-4</v>
      </c>
      <c r="I6">
        <v>3.3307999999999998E-4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1.88495E-4</v>
      </c>
      <c r="E7">
        <v>2.5298200000000001E-4</v>
      </c>
      <c r="F7">
        <v>1.2052700000000001E-4</v>
      </c>
      <c r="G7">
        <v>9.4202999999999995E-4</v>
      </c>
      <c r="H7">
        <v>1.264112E-3</v>
      </c>
      <c r="I7">
        <v>6.0245199999999996E-4</v>
      </c>
    </row>
    <row r="8" spans="1:9" x14ac:dyDescent="0.4">
      <c r="A8">
        <f t="shared" si="0"/>
        <v>20</v>
      </c>
      <c r="B8">
        <v>5</v>
      </c>
      <c r="C8" t="s">
        <v>10</v>
      </c>
      <c r="D8">
        <v>3.2078400000000001E-4</v>
      </c>
      <c r="E8">
        <v>4.51395E-4</v>
      </c>
      <c r="F8">
        <v>1.8332400000000001E-4</v>
      </c>
      <c r="G8">
        <v>1.602635E-3</v>
      </c>
      <c r="H8">
        <v>2.25443E-3</v>
      </c>
      <c r="I8">
        <v>9.1620099999999995E-4</v>
      </c>
    </row>
    <row r="9" spans="1:9" x14ac:dyDescent="0.4">
      <c r="A9">
        <f t="shared" si="0"/>
        <v>25</v>
      </c>
      <c r="B9">
        <v>5</v>
      </c>
      <c r="C9" t="s">
        <v>11</v>
      </c>
      <c r="D9">
        <v>3.3363000000000002E-4</v>
      </c>
      <c r="E9">
        <v>4.4812600000000003E-4</v>
      </c>
      <c r="F9">
        <v>2.1335000000000001E-4</v>
      </c>
      <c r="G9">
        <v>1.66676E-3</v>
      </c>
      <c r="H9">
        <v>2.2381229999999998E-3</v>
      </c>
      <c r="I9">
        <v>1.066181E-3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4.2548E-4</v>
      </c>
      <c r="E10">
        <v>5.5155000000000004E-4</v>
      </c>
      <c r="F10">
        <v>2.9331399999999998E-4</v>
      </c>
      <c r="G10">
        <v>2.125142E-3</v>
      </c>
      <c r="H10">
        <v>2.7539539999999999E-3</v>
      </c>
      <c r="I10">
        <v>1.4654939999999999E-3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5.6679799999999998E-4</v>
      </c>
      <c r="E11">
        <v>7.1350299999999999E-4</v>
      </c>
      <c r="F11">
        <v>4.1368299999999998E-4</v>
      </c>
      <c r="G11">
        <v>2.8299779999999999E-3</v>
      </c>
      <c r="H11">
        <v>3.5611620000000001E-3</v>
      </c>
      <c r="I11">
        <v>2.066277E-3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8.4782900000000003E-4</v>
      </c>
      <c r="E12">
        <v>1.032926E-3</v>
      </c>
      <c r="F12">
        <v>6.5625799999999995E-4</v>
      </c>
      <c r="G12">
        <v>4.2301780000000002E-3</v>
      </c>
      <c r="H12">
        <v>5.1513260000000003E-3</v>
      </c>
      <c r="I12">
        <v>3.2759130000000001E-3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1.4167310000000001E-3</v>
      </c>
      <c r="E13">
        <v>1.7457429999999999E-3</v>
      </c>
      <c r="F13">
        <v>1.0767610000000001E-3</v>
      </c>
      <c r="G13">
        <v>7.058656E-3</v>
      </c>
      <c r="H13">
        <v>8.690784E-3</v>
      </c>
      <c r="I13">
        <v>5.3693500000000002E-3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2.2945159999999999E-3</v>
      </c>
      <c r="E14">
        <v>2.93538E-3</v>
      </c>
      <c r="F14">
        <v>1.643809E-3</v>
      </c>
      <c r="G14">
        <v>1.1407145E-2</v>
      </c>
      <c r="H14">
        <v>1.4569977E-2</v>
      </c>
      <c r="I14">
        <v>8.1854070000000004E-3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3.3916179999999999E-3</v>
      </c>
      <c r="E15">
        <v>4.4844869999999997E-3</v>
      </c>
      <c r="F15">
        <v>2.2859450000000002E-3</v>
      </c>
      <c r="G15">
        <v>1.6815510999999998E-2</v>
      </c>
      <c r="H15">
        <v>2.2173839000000001E-2</v>
      </c>
      <c r="I15">
        <v>1.1364776E-2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5.4081479999999998E-3</v>
      </c>
      <c r="E16">
        <v>7.4210109999999999E-3</v>
      </c>
      <c r="F16">
        <v>3.4150980000000001E-3</v>
      </c>
      <c r="G16">
        <v>2.6680015000000001E-2</v>
      </c>
      <c r="H16">
        <v>3.6429200000000002E-2</v>
      </c>
      <c r="I16">
        <v>1.6930938E-2</v>
      </c>
    </row>
    <row r="17" spans="1:11" x14ac:dyDescent="0.4">
      <c r="A17">
        <f t="shared" si="0"/>
        <v>65</v>
      </c>
      <c r="B17">
        <v>5</v>
      </c>
      <c r="C17" t="s">
        <v>19</v>
      </c>
      <c r="D17">
        <v>9.5302949999999994E-3</v>
      </c>
      <c r="E17">
        <v>1.3597791999999999E-2</v>
      </c>
      <c r="F17">
        <v>5.6600820000000003E-3</v>
      </c>
      <c r="G17">
        <v>4.6542563000000002E-2</v>
      </c>
      <c r="H17">
        <v>6.5753696E-2</v>
      </c>
      <c r="I17">
        <v>2.7905541999999998E-2</v>
      </c>
    </row>
    <row r="18" spans="1:11" x14ac:dyDescent="0.4">
      <c r="A18">
        <f t="shared" si="0"/>
        <v>70</v>
      </c>
      <c r="B18">
        <v>5</v>
      </c>
      <c r="C18" t="s">
        <v>20</v>
      </c>
      <c r="D18">
        <v>1.2775025000000001E-2</v>
      </c>
      <c r="E18">
        <v>1.8523168E-2</v>
      </c>
      <c r="F18">
        <v>7.6545830000000004E-3</v>
      </c>
      <c r="G18">
        <v>6.1898244999999998E-2</v>
      </c>
      <c r="H18">
        <v>8.8516812E-2</v>
      </c>
      <c r="I18">
        <v>3.7554259999999999E-2</v>
      </c>
    </row>
    <row r="19" spans="1:11" x14ac:dyDescent="0.4">
      <c r="A19">
        <f t="shared" si="0"/>
        <v>75</v>
      </c>
      <c r="B19">
        <v>5</v>
      </c>
      <c r="C19" t="s">
        <v>21</v>
      </c>
      <c r="D19">
        <v>2.2959446000000001E-2</v>
      </c>
      <c r="E19">
        <v>3.2807273999999997E-2</v>
      </c>
      <c r="F19">
        <v>1.50379E-2</v>
      </c>
      <c r="G19">
        <v>0.108565708</v>
      </c>
      <c r="H19">
        <v>0.151602232</v>
      </c>
      <c r="I19">
        <v>7.2465190999999998E-2</v>
      </c>
    </row>
    <row r="20" spans="1:11" x14ac:dyDescent="0.4">
      <c r="A20">
        <f t="shared" si="0"/>
        <v>80</v>
      </c>
      <c r="B20">
        <v>5</v>
      </c>
      <c r="C20" t="s">
        <v>22</v>
      </c>
      <c r="D20">
        <v>4.3537859999999998E-2</v>
      </c>
      <c r="E20">
        <v>6.1522949E-2</v>
      </c>
      <c r="F20">
        <v>3.0966477999999999E-2</v>
      </c>
      <c r="G20">
        <v>0.196320827</v>
      </c>
      <c r="H20">
        <v>0.26660840699999999</v>
      </c>
      <c r="I20">
        <v>0.14370713199999999</v>
      </c>
    </row>
    <row r="21" spans="1:11" x14ac:dyDescent="0.4">
      <c r="A21">
        <f t="shared" si="0"/>
        <v>85</v>
      </c>
      <c r="B21" t="s">
        <v>39</v>
      </c>
      <c r="C21" t="s">
        <v>23</v>
      </c>
      <c r="D21">
        <v>0.11127815000000001</v>
      </c>
      <c r="E21">
        <v>0.13574467300000001</v>
      </c>
      <c r="F21">
        <v>0.10010164100000001</v>
      </c>
      <c r="G21">
        <v>1</v>
      </c>
      <c r="H21">
        <v>1</v>
      </c>
      <c r="I21">
        <v>1</v>
      </c>
    </row>
    <row r="24" spans="1:11" x14ac:dyDescent="0.4">
      <c r="A24" t="s">
        <v>1</v>
      </c>
      <c r="B24" t="s">
        <v>37</v>
      </c>
      <c r="C24" t="s">
        <v>38</v>
      </c>
      <c r="D24" s="2" t="s">
        <v>40</v>
      </c>
      <c r="E24" s="2" t="s">
        <v>41</v>
      </c>
      <c r="F24" s="2" t="s">
        <v>44</v>
      </c>
      <c r="G24" s="2" t="s">
        <v>45</v>
      </c>
      <c r="H24" s="2" t="s">
        <v>46</v>
      </c>
      <c r="I24" s="2" t="s">
        <v>47</v>
      </c>
      <c r="J24" s="2" t="s">
        <v>48</v>
      </c>
      <c r="K24" s="2" t="s">
        <v>49</v>
      </c>
    </row>
    <row r="25" spans="1:11" x14ac:dyDescent="0.4">
      <c r="A25" t="s">
        <v>5</v>
      </c>
      <c r="B25">
        <v>0</v>
      </c>
      <c r="C25">
        <v>1</v>
      </c>
      <c r="G25" s="7"/>
      <c r="H25" s="7"/>
    </row>
    <row r="26" spans="1:11" x14ac:dyDescent="0.4">
      <c r="A26" t="s">
        <v>6</v>
      </c>
      <c r="B26">
        <v>1</v>
      </c>
      <c r="C26">
        <v>4</v>
      </c>
      <c r="G26" s="7"/>
      <c r="H26" s="7"/>
    </row>
    <row r="27" spans="1:11" x14ac:dyDescent="0.4">
      <c r="A27" t="s">
        <v>7</v>
      </c>
      <c r="B27">
        <v>5</v>
      </c>
      <c r="C27">
        <v>5</v>
      </c>
      <c r="G27" s="7"/>
      <c r="H27" s="7"/>
    </row>
    <row r="28" spans="1:11" x14ac:dyDescent="0.4">
      <c r="A28" t="s">
        <v>8</v>
      </c>
      <c r="B28">
        <f>B27+5</f>
        <v>10</v>
      </c>
      <c r="C28">
        <v>5</v>
      </c>
      <c r="G28" s="7"/>
      <c r="H28" s="7"/>
    </row>
    <row r="29" spans="1:11" x14ac:dyDescent="0.4">
      <c r="A29" t="s">
        <v>9</v>
      </c>
      <c r="B29">
        <f t="shared" ref="B29:B43" si="1">B28+5</f>
        <v>15</v>
      </c>
      <c r="C29">
        <v>5</v>
      </c>
      <c r="G29" s="7"/>
      <c r="H29" s="7"/>
    </row>
    <row r="30" spans="1:11" x14ac:dyDescent="0.4">
      <c r="A30" t="s">
        <v>10</v>
      </c>
      <c r="B30">
        <f t="shared" si="1"/>
        <v>20</v>
      </c>
      <c r="C30">
        <v>5</v>
      </c>
      <c r="G30" s="7"/>
      <c r="H30" s="7"/>
    </row>
    <row r="31" spans="1:11" x14ac:dyDescent="0.4">
      <c r="A31" t="s">
        <v>11</v>
      </c>
      <c r="B31">
        <f t="shared" si="1"/>
        <v>25</v>
      </c>
      <c r="C31">
        <v>5</v>
      </c>
      <c r="G31" s="7"/>
      <c r="H31" s="7"/>
    </row>
    <row r="32" spans="1:11" x14ac:dyDescent="0.4">
      <c r="A32" t="s">
        <v>12</v>
      </c>
      <c r="B32">
        <f t="shared" si="1"/>
        <v>30</v>
      </c>
      <c r="C32">
        <v>5</v>
      </c>
      <c r="G32" s="7"/>
      <c r="H32" s="7"/>
    </row>
    <row r="33" spans="1:8" x14ac:dyDescent="0.4">
      <c r="A33" t="s">
        <v>13</v>
      </c>
      <c r="B33">
        <f t="shared" si="1"/>
        <v>35</v>
      </c>
      <c r="C33">
        <v>5</v>
      </c>
      <c r="G33" s="7"/>
      <c r="H33" s="7"/>
    </row>
    <row r="34" spans="1:8" x14ac:dyDescent="0.4">
      <c r="A34" t="s">
        <v>14</v>
      </c>
      <c r="B34">
        <f t="shared" si="1"/>
        <v>40</v>
      </c>
      <c r="C34">
        <v>5</v>
      </c>
      <c r="G34" s="7"/>
      <c r="H34" s="7"/>
    </row>
    <row r="35" spans="1:8" x14ac:dyDescent="0.4">
      <c r="A35" t="s">
        <v>15</v>
      </c>
      <c r="B35">
        <f t="shared" si="1"/>
        <v>45</v>
      </c>
      <c r="C35">
        <v>5</v>
      </c>
      <c r="G35" s="7"/>
      <c r="H35" s="7"/>
    </row>
    <row r="36" spans="1:8" x14ac:dyDescent="0.4">
      <c r="A36" t="s">
        <v>16</v>
      </c>
      <c r="B36">
        <f t="shared" si="1"/>
        <v>50</v>
      </c>
      <c r="C36">
        <v>5</v>
      </c>
      <c r="G36" s="7"/>
      <c r="H36" s="7"/>
    </row>
    <row r="37" spans="1:8" x14ac:dyDescent="0.4">
      <c r="A37" t="s">
        <v>17</v>
      </c>
      <c r="B37">
        <f t="shared" si="1"/>
        <v>55</v>
      </c>
      <c r="C37">
        <v>5</v>
      </c>
      <c r="G37" s="7"/>
      <c r="H37" s="7"/>
    </row>
    <row r="38" spans="1:8" x14ac:dyDescent="0.4">
      <c r="A38" t="s">
        <v>18</v>
      </c>
      <c r="B38">
        <f t="shared" si="1"/>
        <v>60</v>
      </c>
      <c r="C38">
        <v>5</v>
      </c>
      <c r="G38" s="7"/>
      <c r="H38" s="7"/>
    </row>
    <row r="39" spans="1:8" x14ac:dyDescent="0.4">
      <c r="A39" t="s">
        <v>19</v>
      </c>
      <c r="B39">
        <f t="shared" si="1"/>
        <v>65</v>
      </c>
      <c r="C39">
        <v>5</v>
      </c>
      <c r="G39" s="7"/>
      <c r="H39" s="7"/>
    </row>
    <row r="40" spans="1:8" x14ac:dyDescent="0.4">
      <c r="A40" t="s">
        <v>20</v>
      </c>
      <c r="B40">
        <f t="shared" si="1"/>
        <v>70</v>
      </c>
      <c r="C40">
        <v>5</v>
      </c>
      <c r="G40" s="7"/>
      <c r="H40" s="7"/>
    </row>
    <row r="41" spans="1:8" x14ac:dyDescent="0.4">
      <c r="A41" t="s">
        <v>21</v>
      </c>
      <c r="B41">
        <f t="shared" si="1"/>
        <v>75</v>
      </c>
      <c r="C41">
        <v>5</v>
      </c>
      <c r="G41" s="7"/>
      <c r="H41" s="7"/>
    </row>
    <row r="42" spans="1:8" x14ac:dyDescent="0.4">
      <c r="A42" t="s">
        <v>22</v>
      </c>
      <c r="B42">
        <f t="shared" si="1"/>
        <v>80</v>
      </c>
      <c r="C42">
        <v>5</v>
      </c>
      <c r="G42" s="7"/>
      <c r="H42" s="7"/>
    </row>
    <row r="43" spans="1:8" x14ac:dyDescent="0.4">
      <c r="A43" t="s">
        <v>23</v>
      </c>
      <c r="B43">
        <f t="shared" si="1"/>
        <v>85</v>
      </c>
      <c r="C43" t="s">
        <v>39</v>
      </c>
      <c r="G43" s="7"/>
      <c r="H43" s="7"/>
    </row>
  </sheetData>
  <mergeCells count="2">
    <mergeCell ref="D1:F1"/>
    <mergeCell ref="G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C631-2DC3-40D8-9AEE-032C47688270}">
  <dimension ref="A1:I21"/>
  <sheetViews>
    <sheetView workbookViewId="0">
      <selection activeCell="A26" sqref="A26"/>
    </sheetView>
  </sheetViews>
  <sheetFormatPr defaultRowHeight="14.6" x14ac:dyDescent="0.4"/>
  <sheetData>
    <row r="1" spans="1:9" x14ac:dyDescent="0.4">
      <c r="B1" t="s">
        <v>30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2.8649956000000001E-2</v>
      </c>
      <c r="E3">
        <v>3.1088138000000001E-2</v>
      </c>
      <c r="F3">
        <v>2.6146184999999999E-2</v>
      </c>
      <c r="G3">
        <v>2.8086678E-2</v>
      </c>
      <c r="H3">
        <v>3.0426016E-2</v>
      </c>
      <c r="I3">
        <v>2.5676250000000001E-2</v>
      </c>
    </row>
    <row r="4" spans="1:9" x14ac:dyDescent="0.4">
      <c r="A4">
        <v>1</v>
      </c>
      <c r="B4">
        <v>4</v>
      </c>
      <c r="C4" t="s">
        <v>6</v>
      </c>
      <c r="D4">
        <v>1.7781209999999999E-3</v>
      </c>
      <c r="E4">
        <v>1.936983E-3</v>
      </c>
      <c r="F4">
        <v>1.6152180000000001E-3</v>
      </c>
      <c r="G4">
        <v>7.0822599999999999E-3</v>
      </c>
      <c r="H4">
        <v>7.7120790000000002E-3</v>
      </c>
      <c r="I4">
        <v>6.4359220000000002E-3</v>
      </c>
    </row>
    <row r="5" spans="1:9" x14ac:dyDescent="0.4">
      <c r="A5">
        <v>5</v>
      </c>
      <c r="B5">
        <v>5</v>
      </c>
      <c r="C5" t="s">
        <v>7</v>
      </c>
      <c r="D5">
        <v>5.0385000000000002E-4</v>
      </c>
      <c r="E5">
        <v>5.4892199999999997E-4</v>
      </c>
      <c r="F5">
        <v>4.57737E-4</v>
      </c>
      <c r="G5">
        <v>2.5160820000000002E-3</v>
      </c>
      <c r="H5">
        <v>2.7408480000000002E-3</v>
      </c>
      <c r="I5">
        <v>2.286068E-3</v>
      </c>
    </row>
    <row r="6" spans="1:9" x14ac:dyDescent="0.4">
      <c r="A6">
        <f>A5+5</f>
        <v>10</v>
      </c>
      <c r="B6">
        <v>5</v>
      </c>
      <c r="C6" t="s">
        <v>8</v>
      </c>
      <c r="D6">
        <v>5.8983600000000005E-4</v>
      </c>
      <c r="E6">
        <v>6.6034199999999996E-4</v>
      </c>
      <c r="F6">
        <v>5.1798700000000003E-4</v>
      </c>
      <c r="G6">
        <v>2.9448349999999998E-3</v>
      </c>
      <c r="H6">
        <v>3.2962669999999999E-3</v>
      </c>
      <c r="I6">
        <v>2.5865839999999998E-3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1.4830220000000001E-3</v>
      </c>
      <c r="E7">
        <v>1.6168409999999999E-3</v>
      </c>
      <c r="F7">
        <v>1.3474719999999999E-3</v>
      </c>
      <c r="G7">
        <v>7.3877200000000004E-3</v>
      </c>
      <c r="H7">
        <v>8.0516609999999999E-3</v>
      </c>
      <c r="I7">
        <v>6.7147379999999996E-3</v>
      </c>
    </row>
    <row r="8" spans="1:9" x14ac:dyDescent="0.4">
      <c r="A8">
        <f t="shared" si="0"/>
        <v>20</v>
      </c>
      <c r="B8">
        <v>5</v>
      </c>
      <c r="C8" t="s">
        <v>10</v>
      </c>
      <c r="D8">
        <v>2.9023759999999999E-3</v>
      </c>
      <c r="E8">
        <v>3.1803539999999998E-3</v>
      </c>
      <c r="F8">
        <v>2.6206580000000001E-3</v>
      </c>
      <c r="G8">
        <v>1.4407339999999999E-2</v>
      </c>
      <c r="H8">
        <v>1.5776335999999998E-2</v>
      </c>
      <c r="I8">
        <v>1.3018001E-2</v>
      </c>
    </row>
    <row r="9" spans="1:9" x14ac:dyDescent="0.4">
      <c r="A9">
        <f t="shared" si="0"/>
        <v>25</v>
      </c>
      <c r="B9">
        <v>5</v>
      </c>
      <c r="C9" t="s">
        <v>11</v>
      </c>
      <c r="D9">
        <v>4.9252180000000003E-3</v>
      </c>
      <c r="E9">
        <v>5.3908209999999996E-3</v>
      </c>
      <c r="F9">
        <v>4.4518129999999998E-3</v>
      </c>
      <c r="G9">
        <v>2.4326558000000002E-2</v>
      </c>
      <c r="H9">
        <v>2.6595674999999999E-2</v>
      </c>
      <c r="I9">
        <v>2.2014059999999998E-2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7.2497009999999999E-3</v>
      </c>
      <c r="E10">
        <v>8.2118169999999997E-3</v>
      </c>
      <c r="F10">
        <v>6.2704320000000003E-3</v>
      </c>
      <c r="G10">
        <v>3.5603223000000003E-2</v>
      </c>
      <c r="H10">
        <v>4.0233115999999999E-2</v>
      </c>
      <c r="I10">
        <v>3.0868264999999999E-2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8.7845360000000008E-3</v>
      </c>
      <c r="E11">
        <v>1.0363961E-2</v>
      </c>
      <c r="F11">
        <v>7.1893649999999996E-3</v>
      </c>
      <c r="G11">
        <v>4.2978809999999999E-2</v>
      </c>
      <c r="H11">
        <v>5.0511068999999999E-2</v>
      </c>
      <c r="I11">
        <v>3.5312145000000003E-2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9.9886850000000006E-3</v>
      </c>
      <c r="E12">
        <v>1.2151659E-2</v>
      </c>
      <c r="F12">
        <v>7.8593489999999998E-3</v>
      </c>
      <c r="G12">
        <v>4.8726639000000002E-2</v>
      </c>
      <c r="H12">
        <v>5.8966929000000001E-2</v>
      </c>
      <c r="I12">
        <v>3.8539506000000001E-2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1.0822221999999999E-2</v>
      </c>
      <c r="E13">
        <v>1.3556969E-2</v>
      </c>
      <c r="F13">
        <v>8.2174880000000002E-3</v>
      </c>
      <c r="G13">
        <v>5.2685669999999997E-2</v>
      </c>
      <c r="H13">
        <v>6.5562765999999995E-2</v>
      </c>
      <c r="I13">
        <v>4.0260344000000003E-2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1.297353E-2</v>
      </c>
      <c r="E14">
        <v>1.6607838999999999E-2</v>
      </c>
      <c r="F14">
        <v>9.6282060000000003E-3</v>
      </c>
      <c r="G14">
        <v>6.2829836E-2</v>
      </c>
      <c r="H14">
        <v>7.9728884999999999E-2</v>
      </c>
      <c r="I14">
        <v>4.7009486000000003E-2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1.5430276E-2</v>
      </c>
      <c r="E15">
        <v>2.0014868000000002E-2</v>
      </c>
      <c r="F15">
        <v>1.14287E-2</v>
      </c>
      <c r="G15">
        <v>7.4285754999999995E-2</v>
      </c>
      <c r="H15">
        <v>9.5305521000000004E-2</v>
      </c>
      <c r="I15">
        <v>5.5556161E-2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2.0202741E-2</v>
      </c>
      <c r="E16">
        <v>2.6369244999999999E-2</v>
      </c>
      <c r="F16">
        <v>1.5198799000000001E-2</v>
      </c>
      <c r="G16">
        <v>9.6157112000000003E-2</v>
      </c>
      <c r="H16">
        <v>0.12369206200000001</v>
      </c>
      <c r="I16">
        <v>7.3212153000000002E-2</v>
      </c>
    </row>
    <row r="17" spans="1:9" x14ac:dyDescent="0.4">
      <c r="A17">
        <f t="shared" si="0"/>
        <v>65</v>
      </c>
      <c r="B17">
        <v>5</v>
      </c>
      <c r="C17" t="s">
        <v>19</v>
      </c>
      <c r="D17">
        <v>2.7588392E-2</v>
      </c>
      <c r="E17">
        <v>3.5424866999999999E-2</v>
      </c>
      <c r="F17">
        <v>2.1726037E-2</v>
      </c>
      <c r="G17">
        <v>0.12904182</v>
      </c>
      <c r="H17">
        <v>0.16271402700000001</v>
      </c>
      <c r="I17">
        <v>0.103033892</v>
      </c>
    </row>
    <row r="18" spans="1:9" x14ac:dyDescent="0.4">
      <c r="A18">
        <f t="shared" si="0"/>
        <v>70</v>
      </c>
      <c r="B18">
        <v>5</v>
      </c>
      <c r="C18" t="s">
        <v>20</v>
      </c>
      <c r="D18">
        <v>3.6296851999999998E-2</v>
      </c>
      <c r="E18">
        <v>4.5114769999999998E-2</v>
      </c>
      <c r="F18">
        <v>3.0352836000000001E-2</v>
      </c>
      <c r="G18">
        <v>0.16638603599999999</v>
      </c>
      <c r="H18">
        <v>0.20271072800000001</v>
      </c>
      <c r="I18">
        <v>0.14106023300000001</v>
      </c>
    </row>
    <row r="19" spans="1:9" x14ac:dyDescent="0.4">
      <c r="A19">
        <f t="shared" si="0"/>
        <v>75</v>
      </c>
      <c r="B19">
        <v>5</v>
      </c>
      <c r="C19" t="s">
        <v>21</v>
      </c>
      <c r="D19">
        <v>5.1467613000000002E-2</v>
      </c>
      <c r="E19">
        <v>6.3585644999999996E-2</v>
      </c>
      <c r="F19">
        <v>4.4348931000000001E-2</v>
      </c>
      <c r="G19">
        <v>0.22800135299999999</v>
      </c>
      <c r="H19">
        <v>0.27432102800000002</v>
      </c>
      <c r="I19">
        <v>0.199613086</v>
      </c>
    </row>
    <row r="20" spans="1:9" x14ac:dyDescent="0.4">
      <c r="A20">
        <f t="shared" si="0"/>
        <v>80</v>
      </c>
      <c r="B20">
        <v>5</v>
      </c>
      <c r="C20" t="s">
        <v>22</v>
      </c>
      <c r="D20">
        <v>9.3302219000000006E-2</v>
      </c>
      <c r="E20">
        <v>0.10730060199999999</v>
      </c>
      <c r="F20">
        <v>8.6519169000000007E-2</v>
      </c>
      <c r="G20">
        <v>0.37827609699999998</v>
      </c>
      <c r="H20">
        <v>0.42302572199999999</v>
      </c>
      <c r="I20">
        <v>0.35566602400000003</v>
      </c>
    </row>
    <row r="21" spans="1:9" x14ac:dyDescent="0.4">
      <c r="A21">
        <f t="shared" si="0"/>
        <v>85</v>
      </c>
      <c r="B21" t="s">
        <v>39</v>
      </c>
      <c r="C21" t="s">
        <v>23</v>
      </c>
      <c r="D21">
        <v>0.18950083400000001</v>
      </c>
      <c r="E21">
        <v>0.20611549600000001</v>
      </c>
      <c r="F21">
        <v>0.18303269699999999</v>
      </c>
      <c r="G21">
        <v>1</v>
      </c>
      <c r="H21">
        <v>1</v>
      </c>
      <c r="I21">
        <v>1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3D57-DBD6-4458-8842-68F7ECD49CD9}">
  <dimension ref="A1:K45"/>
  <sheetViews>
    <sheetView workbookViewId="0">
      <selection activeCell="A26" sqref="A26:K45"/>
    </sheetView>
  </sheetViews>
  <sheetFormatPr defaultRowHeight="14.6" x14ac:dyDescent="0.4"/>
  <sheetData>
    <row r="1" spans="1:9" x14ac:dyDescent="0.4">
      <c r="B1" t="s">
        <v>31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6.3615499999999997E-3</v>
      </c>
      <c r="E3">
        <v>6.8726009999999999E-3</v>
      </c>
      <c r="F3">
        <v>5.830277E-3</v>
      </c>
      <c r="G3">
        <v>6.3253349999999996E-3</v>
      </c>
      <c r="H3">
        <v>6.8303529999999999E-3</v>
      </c>
      <c r="I3">
        <v>5.7998440000000002E-3</v>
      </c>
    </row>
    <row r="4" spans="1:9" x14ac:dyDescent="0.4">
      <c r="A4">
        <v>1</v>
      </c>
      <c r="B4">
        <v>4</v>
      </c>
      <c r="C4" t="s">
        <v>6</v>
      </c>
      <c r="D4">
        <v>2.50747E-4</v>
      </c>
      <c r="E4">
        <v>2.7159299999999999E-4</v>
      </c>
      <c r="F4">
        <v>2.2912400000000001E-4</v>
      </c>
      <c r="G4">
        <v>1.002385E-3</v>
      </c>
      <c r="H4">
        <v>1.0856629999999999E-3</v>
      </c>
      <c r="I4">
        <v>9.1599200000000002E-4</v>
      </c>
    </row>
    <row r="5" spans="1:9" x14ac:dyDescent="0.4">
      <c r="A5">
        <v>5</v>
      </c>
      <c r="B5">
        <v>5</v>
      </c>
      <c r="C5" t="s">
        <v>7</v>
      </c>
      <c r="D5">
        <v>1.2511400000000001E-4</v>
      </c>
      <c r="E5">
        <v>1.35523E-4</v>
      </c>
      <c r="F5">
        <v>1.14332E-4</v>
      </c>
      <c r="G5">
        <v>6.2537499999999995E-4</v>
      </c>
      <c r="H5">
        <v>6.77387E-4</v>
      </c>
      <c r="I5">
        <v>5.7149499999999999E-4</v>
      </c>
    </row>
    <row r="6" spans="1:9" x14ac:dyDescent="0.4">
      <c r="A6">
        <f>A5+5</f>
        <v>10</v>
      </c>
      <c r="B6">
        <v>5</v>
      </c>
      <c r="C6" t="s">
        <v>8</v>
      </c>
      <c r="D6">
        <v>1.59149E-4</v>
      </c>
      <c r="E6">
        <v>1.7560199999999999E-4</v>
      </c>
      <c r="F6">
        <v>1.4211700000000001E-4</v>
      </c>
      <c r="G6">
        <v>7.9542999999999997E-4</v>
      </c>
      <c r="H6">
        <v>8.7762300000000001E-4</v>
      </c>
      <c r="I6">
        <v>7.1033200000000004E-4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4.0493499999999998E-4</v>
      </c>
      <c r="E7">
        <v>5.6688099999999998E-4</v>
      </c>
      <c r="F7">
        <v>2.37531E-4</v>
      </c>
      <c r="G7">
        <v>2.0226300000000001E-3</v>
      </c>
      <c r="H7">
        <v>2.8303930000000001E-3</v>
      </c>
      <c r="I7">
        <v>1.186948E-3</v>
      </c>
    </row>
    <row r="8" spans="1:9" x14ac:dyDescent="0.4">
      <c r="A8">
        <f t="shared" si="0"/>
        <v>20</v>
      </c>
      <c r="B8">
        <v>5</v>
      </c>
      <c r="C8" t="s">
        <v>10</v>
      </c>
      <c r="D8">
        <v>5.8850799999999996E-4</v>
      </c>
      <c r="E8">
        <v>8.7065199999999997E-4</v>
      </c>
      <c r="F8">
        <v>2.9751400000000002E-4</v>
      </c>
      <c r="G8">
        <v>2.938216E-3</v>
      </c>
      <c r="H8">
        <v>4.3438069999999999E-3</v>
      </c>
      <c r="I8">
        <v>1.4864640000000001E-3</v>
      </c>
    </row>
    <row r="9" spans="1:9" x14ac:dyDescent="0.4">
      <c r="A9">
        <f t="shared" si="0"/>
        <v>25</v>
      </c>
      <c r="B9">
        <v>5</v>
      </c>
      <c r="C9" t="s">
        <v>11</v>
      </c>
      <c r="D9">
        <v>7.0136799999999996E-4</v>
      </c>
      <c r="E9">
        <v>1.0380299999999999E-3</v>
      </c>
      <c r="F9">
        <v>3.5399800000000001E-4</v>
      </c>
      <c r="G9">
        <v>3.500703E-3</v>
      </c>
      <c r="H9">
        <v>5.176717E-3</v>
      </c>
      <c r="I9">
        <v>1.768424E-3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7.9811499999999996E-4</v>
      </c>
      <c r="E10">
        <v>1.149274E-3</v>
      </c>
      <c r="F10">
        <v>4.3655499999999998E-4</v>
      </c>
      <c r="G10">
        <v>3.98263E-3</v>
      </c>
      <c r="H10">
        <v>5.729909E-3</v>
      </c>
      <c r="I10">
        <v>2.1803930000000001E-3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1.0059139999999999E-3</v>
      </c>
      <c r="E11">
        <v>1.3799389999999999E-3</v>
      </c>
      <c r="F11">
        <v>6.2553200000000004E-4</v>
      </c>
      <c r="G11">
        <v>5.0169539999999997E-3</v>
      </c>
      <c r="H11">
        <v>6.8759759999999998E-3</v>
      </c>
      <c r="I11">
        <v>3.1227759999999999E-3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1.4987220000000001E-3</v>
      </c>
      <c r="E12">
        <v>1.98562E-3</v>
      </c>
      <c r="F12">
        <v>1.012059E-3</v>
      </c>
      <c r="G12">
        <v>7.465635E-3</v>
      </c>
      <c r="H12">
        <v>9.8790600000000003E-3</v>
      </c>
      <c r="I12">
        <v>5.0475229999999999E-3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2.1703030000000002E-3</v>
      </c>
      <c r="E13">
        <v>2.8349650000000001E-3</v>
      </c>
      <c r="F13">
        <v>1.5192000000000001E-3</v>
      </c>
      <c r="G13">
        <v>1.0792955999999999E-2</v>
      </c>
      <c r="H13">
        <v>1.4075068E-2</v>
      </c>
      <c r="I13">
        <v>7.5672600000000001E-3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3.4901989999999998E-3</v>
      </c>
      <c r="E14">
        <v>4.6065350000000001E-3</v>
      </c>
      <c r="F14">
        <v>2.4192480000000001E-3</v>
      </c>
      <c r="G14">
        <v>1.7300044000000001E-2</v>
      </c>
      <c r="H14">
        <v>2.2770441999999998E-2</v>
      </c>
      <c r="I14">
        <v>1.2023519E-2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5.355627E-3</v>
      </c>
      <c r="E15">
        <v>6.8556470000000003E-3</v>
      </c>
      <c r="F15">
        <v>3.9522469999999999E-3</v>
      </c>
      <c r="G15">
        <v>2.6424336E-2</v>
      </c>
      <c r="H15">
        <v>3.3700636999999999E-2</v>
      </c>
      <c r="I15">
        <v>1.9567894999999998E-2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7.5166399999999998E-3</v>
      </c>
      <c r="E16">
        <v>9.6921100000000003E-3</v>
      </c>
      <c r="F16">
        <v>5.5471649999999997E-3</v>
      </c>
      <c r="G16">
        <v>3.6889976999999997E-2</v>
      </c>
      <c r="H16">
        <v>4.7314114999999997E-2</v>
      </c>
      <c r="I16">
        <v>2.7356449000000001E-2</v>
      </c>
    </row>
    <row r="17" spans="1:11" x14ac:dyDescent="0.4">
      <c r="A17">
        <f t="shared" si="0"/>
        <v>65</v>
      </c>
      <c r="B17">
        <v>5</v>
      </c>
      <c r="C17" t="s">
        <v>19</v>
      </c>
      <c r="D17">
        <v>1.1880926E-2</v>
      </c>
      <c r="E17">
        <v>1.5110353E-2</v>
      </c>
      <c r="F17">
        <v>9.0757010000000003E-3</v>
      </c>
      <c r="G17">
        <v>5.7691074000000002E-2</v>
      </c>
      <c r="H17">
        <v>7.2801619999999997E-2</v>
      </c>
      <c r="I17">
        <v>4.4371743999999998E-2</v>
      </c>
    </row>
    <row r="18" spans="1:11" x14ac:dyDescent="0.4">
      <c r="A18">
        <f t="shared" si="0"/>
        <v>70</v>
      </c>
      <c r="B18">
        <v>5</v>
      </c>
      <c r="C18" t="s">
        <v>20</v>
      </c>
      <c r="D18">
        <v>2.1878472999999999E-2</v>
      </c>
      <c r="E18">
        <v>2.8145718E-2</v>
      </c>
      <c r="F18">
        <v>1.6715577999999998E-2</v>
      </c>
      <c r="G18">
        <v>0.10371931199999999</v>
      </c>
      <c r="H18">
        <v>0.131477281</v>
      </c>
      <c r="I18">
        <v>8.0225355999999998E-2</v>
      </c>
    </row>
    <row r="19" spans="1:11" x14ac:dyDescent="0.4">
      <c r="A19">
        <f t="shared" si="0"/>
        <v>75</v>
      </c>
      <c r="B19">
        <v>5</v>
      </c>
      <c r="C19" t="s">
        <v>21</v>
      </c>
      <c r="D19">
        <v>3.3257847E-2</v>
      </c>
      <c r="E19">
        <v>4.3462187999999999E-2</v>
      </c>
      <c r="F19">
        <v>2.5725398E-2</v>
      </c>
      <c r="G19">
        <v>0.15352449900000001</v>
      </c>
      <c r="H19">
        <v>0.19601305199999999</v>
      </c>
      <c r="I19">
        <v>0.120854422</v>
      </c>
    </row>
    <row r="20" spans="1:11" x14ac:dyDescent="0.4">
      <c r="A20">
        <f t="shared" si="0"/>
        <v>80</v>
      </c>
      <c r="B20">
        <v>5</v>
      </c>
      <c r="C20" t="s">
        <v>22</v>
      </c>
      <c r="D20">
        <v>5.4882533999999997E-2</v>
      </c>
      <c r="E20">
        <v>7.0531838999999999E-2</v>
      </c>
      <c r="F20">
        <v>4.4864697000000002E-2</v>
      </c>
      <c r="G20">
        <v>0.24130420499999999</v>
      </c>
      <c r="H20">
        <v>0.29979624300000002</v>
      </c>
      <c r="I20">
        <v>0.20170041599999999</v>
      </c>
    </row>
    <row r="21" spans="1:11" x14ac:dyDescent="0.4">
      <c r="A21">
        <f t="shared" si="0"/>
        <v>85</v>
      </c>
      <c r="B21" t="s">
        <v>39</v>
      </c>
      <c r="C21" t="s">
        <v>23</v>
      </c>
      <c r="D21">
        <v>0.12146533499999999</v>
      </c>
      <c r="E21">
        <v>0.138284885</v>
      </c>
      <c r="F21">
        <v>0.113082086</v>
      </c>
      <c r="G21">
        <v>1</v>
      </c>
      <c r="H21">
        <v>1</v>
      </c>
      <c r="I21">
        <v>1</v>
      </c>
    </row>
    <row r="26" spans="1:11" x14ac:dyDescent="0.4">
      <c r="A26" t="s">
        <v>1</v>
      </c>
      <c r="B26" t="s">
        <v>37</v>
      </c>
      <c r="C26" t="s">
        <v>38</v>
      </c>
      <c r="D26" s="2" t="s">
        <v>40</v>
      </c>
      <c r="E26" s="2" t="s">
        <v>41</v>
      </c>
      <c r="F26" s="2" t="s">
        <v>44</v>
      </c>
      <c r="G26" s="2" t="s">
        <v>45</v>
      </c>
      <c r="H26" s="2" t="s">
        <v>46</v>
      </c>
      <c r="I26" s="2" t="s">
        <v>47</v>
      </c>
      <c r="J26" s="2" t="s">
        <v>48</v>
      </c>
      <c r="K26" s="2" t="s">
        <v>49</v>
      </c>
    </row>
    <row r="27" spans="1:11" x14ac:dyDescent="0.4">
      <c r="A27" t="s">
        <v>5</v>
      </c>
      <c r="B27">
        <v>0</v>
      </c>
      <c r="C27">
        <v>1</v>
      </c>
      <c r="G27" s="7"/>
      <c r="H27" s="7"/>
    </row>
    <row r="28" spans="1:11" x14ac:dyDescent="0.4">
      <c r="A28" t="s">
        <v>6</v>
      </c>
      <c r="B28">
        <v>1</v>
      </c>
      <c r="C28">
        <v>4</v>
      </c>
      <c r="G28" s="7"/>
      <c r="H28" s="7"/>
    </row>
    <row r="29" spans="1:11" x14ac:dyDescent="0.4">
      <c r="A29" t="s">
        <v>7</v>
      </c>
      <c r="B29">
        <v>5</v>
      </c>
      <c r="C29">
        <v>5</v>
      </c>
      <c r="G29" s="7"/>
      <c r="H29" s="7"/>
    </row>
    <row r="30" spans="1:11" x14ac:dyDescent="0.4">
      <c r="A30" t="s">
        <v>8</v>
      </c>
      <c r="B30">
        <f>B29+5</f>
        <v>10</v>
      </c>
      <c r="C30">
        <v>5</v>
      </c>
      <c r="G30" s="7"/>
      <c r="H30" s="7"/>
    </row>
    <row r="31" spans="1:11" x14ac:dyDescent="0.4">
      <c r="A31" t="s">
        <v>9</v>
      </c>
      <c r="B31">
        <f t="shared" ref="B31:B45" si="1">B30+5</f>
        <v>15</v>
      </c>
      <c r="C31">
        <v>5</v>
      </c>
      <c r="G31" s="7"/>
      <c r="H31" s="7"/>
    </row>
    <row r="32" spans="1:11" x14ac:dyDescent="0.4">
      <c r="A32" t="s">
        <v>10</v>
      </c>
      <c r="B32">
        <f t="shared" si="1"/>
        <v>20</v>
      </c>
      <c r="C32">
        <v>5</v>
      </c>
      <c r="G32" s="7"/>
      <c r="H32" s="7"/>
    </row>
    <row r="33" spans="1:8" x14ac:dyDescent="0.4">
      <c r="A33" t="s">
        <v>11</v>
      </c>
      <c r="B33">
        <f t="shared" si="1"/>
        <v>25</v>
      </c>
      <c r="C33">
        <v>5</v>
      </c>
      <c r="G33" s="7"/>
      <c r="H33" s="7"/>
    </row>
    <row r="34" spans="1:8" x14ac:dyDescent="0.4">
      <c r="A34" t="s">
        <v>12</v>
      </c>
      <c r="B34">
        <f t="shared" si="1"/>
        <v>30</v>
      </c>
      <c r="C34">
        <v>5</v>
      </c>
      <c r="G34" s="7"/>
      <c r="H34" s="7"/>
    </row>
    <row r="35" spans="1:8" x14ac:dyDescent="0.4">
      <c r="A35" t="s">
        <v>13</v>
      </c>
      <c r="B35">
        <f t="shared" si="1"/>
        <v>35</v>
      </c>
      <c r="C35">
        <v>5</v>
      </c>
      <c r="G35" s="7"/>
      <c r="H35" s="7"/>
    </row>
    <row r="36" spans="1:8" x14ac:dyDescent="0.4">
      <c r="A36" t="s">
        <v>14</v>
      </c>
      <c r="B36">
        <f t="shared" si="1"/>
        <v>40</v>
      </c>
      <c r="C36">
        <v>5</v>
      </c>
      <c r="G36" s="7"/>
      <c r="H36" s="7"/>
    </row>
    <row r="37" spans="1:8" x14ac:dyDescent="0.4">
      <c r="A37" t="s">
        <v>15</v>
      </c>
      <c r="B37">
        <f t="shared" si="1"/>
        <v>45</v>
      </c>
      <c r="C37">
        <v>5</v>
      </c>
      <c r="G37" s="7"/>
      <c r="H37" s="7"/>
    </row>
    <row r="38" spans="1:8" x14ac:dyDescent="0.4">
      <c r="A38" t="s">
        <v>16</v>
      </c>
      <c r="B38">
        <f t="shared" si="1"/>
        <v>50</v>
      </c>
      <c r="C38">
        <v>5</v>
      </c>
      <c r="G38" s="7"/>
      <c r="H38" s="7"/>
    </row>
    <row r="39" spans="1:8" x14ac:dyDescent="0.4">
      <c r="A39" t="s">
        <v>17</v>
      </c>
      <c r="B39">
        <f t="shared" si="1"/>
        <v>55</v>
      </c>
      <c r="C39">
        <v>5</v>
      </c>
      <c r="G39" s="7"/>
      <c r="H39" s="7"/>
    </row>
    <row r="40" spans="1:8" x14ac:dyDescent="0.4">
      <c r="A40" t="s">
        <v>18</v>
      </c>
      <c r="B40">
        <f t="shared" si="1"/>
        <v>60</v>
      </c>
      <c r="C40">
        <v>5</v>
      </c>
      <c r="G40" s="7"/>
      <c r="H40" s="7"/>
    </row>
    <row r="41" spans="1:8" x14ac:dyDescent="0.4">
      <c r="A41" t="s">
        <v>19</v>
      </c>
      <c r="B41">
        <f t="shared" si="1"/>
        <v>65</v>
      </c>
      <c r="C41">
        <v>5</v>
      </c>
      <c r="G41" s="7"/>
      <c r="H41" s="7"/>
    </row>
    <row r="42" spans="1:8" x14ac:dyDescent="0.4">
      <c r="A42" t="s">
        <v>20</v>
      </c>
      <c r="B42">
        <f t="shared" si="1"/>
        <v>70</v>
      </c>
      <c r="C42">
        <v>5</v>
      </c>
      <c r="G42" s="7"/>
      <c r="H42" s="7"/>
    </row>
    <row r="43" spans="1:8" x14ac:dyDescent="0.4">
      <c r="A43" t="s">
        <v>21</v>
      </c>
      <c r="B43">
        <f t="shared" si="1"/>
        <v>75</v>
      </c>
      <c r="C43">
        <v>5</v>
      </c>
      <c r="G43" s="7"/>
      <c r="H43" s="7"/>
    </row>
    <row r="44" spans="1:8" x14ac:dyDescent="0.4">
      <c r="A44" t="s">
        <v>22</v>
      </c>
      <c r="B44">
        <f t="shared" si="1"/>
        <v>80</v>
      </c>
      <c r="C44">
        <v>5</v>
      </c>
      <c r="G44" s="7"/>
      <c r="H44" s="7"/>
    </row>
    <row r="45" spans="1:8" x14ac:dyDescent="0.4">
      <c r="A45" t="s">
        <v>23</v>
      </c>
      <c r="B45">
        <f t="shared" si="1"/>
        <v>85</v>
      </c>
      <c r="C45" t="s">
        <v>39</v>
      </c>
      <c r="G45" s="7"/>
      <c r="H45" s="7"/>
    </row>
  </sheetData>
  <mergeCells count="2">
    <mergeCell ref="D1:F1"/>
    <mergeCell ref="G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B212-3E96-4653-9B10-95086021FFBD}">
  <dimension ref="A1:K46"/>
  <sheetViews>
    <sheetView topLeftCell="A21" workbookViewId="0">
      <selection activeCell="A27" sqref="A27:K46"/>
    </sheetView>
  </sheetViews>
  <sheetFormatPr defaultRowHeight="14.6" x14ac:dyDescent="0.4"/>
  <sheetData>
    <row r="1" spans="1:9" x14ac:dyDescent="0.4">
      <c r="B1" t="s">
        <v>32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2.8649956000000001E-2</v>
      </c>
      <c r="E3">
        <v>3.1088138000000001E-2</v>
      </c>
      <c r="F3">
        <v>2.6146184999999999E-2</v>
      </c>
      <c r="G3">
        <v>2.8086678E-2</v>
      </c>
      <c r="H3">
        <v>3.0426016E-2</v>
      </c>
      <c r="I3">
        <v>2.5676250000000001E-2</v>
      </c>
    </row>
    <row r="4" spans="1:9" x14ac:dyDescent="0.4">
      <c r="A4">
        <v>1</v>
      </c>
      <c r="B4">
        <v>4</v>
      </c>
      <c r="C4" t="s">
        <v>6</v>
      </c>
      <c r="D4">
        <v>1.7781209999999999E-3</v>
      </c>
      <c r="E4">
        <v>1.936983E-3</v>
      </c>
      <c r="F4">
        <v>1.6152180000000001E-3</v>
      </c>
      <c r="G4">
        <v>7.0822599999999999E-3</v>
      </c>
      <c r="H4">
        <v>7.7120790000000002E-3</v>
      </c>
      <c r="I4">
        <v>6.4359220000000002E-3</v>
      </c>
    </row>
    <row r="5" spans="1:9" x14ac:dyDescent="0.4">
      <c r="A5">
        <v>5</v>
      </c>
      <c r="B5">
        <v>5</v>
      </c>
      <c r="C5" t="s">
        <v>7</v>
      </c>
      <c r="D5">
        <v>5.0385000000000002E-4</v>
      </c>
      <c r="E5">
        <v>5.4892199999999997E-4</v>
      </c>
      <c r="F5">
        <v>4.57737E-4</v>
      </c>
      <c r="G5">
        <v>2.5160820000000002E-3</v>
      </c>
      <c r="H5">
        <v>2.7408480000000002E-3</v>
      </c>
      <c r="I5">
        <v>2.286068E-3</v>
      </c>
    </row>
    <row r="6" spans="1:9" x14ac:dyDescent="0.4">
      <c r="A6">
        <f>A5+5</f>
        <v>10</v>
      </c>
      <c r="B6">
        <v>5</v>
      </c>
      <c r="C6" t="s">
        <v>8</v>
      </c>
      <c r="D6">
        <v>5.8983600000000005E-4</v>
      </c>
      <c r="E6">
        <v>6.6034199999999996E-4</v>
      </c>
      <c r="F6">
        <v>5.1798700000000003E-4</v>
      </c>
      <c r="G6">
        <v>2.9448349999999998E-3</v>
      </c>
      <c r="H6">
        <v>3.2962669999999999E-3</v>
      </c>
      <c r="I6">
        <v>2.5865839999999998E-3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1.4830220000000001E-3</v>
      </c>
      <c r="E7">
        <v>1.6168409999999999E-3</v>
      </c>
      <c r="F7">
        <v>1.3474719999999999E-3</v>
      </c>
      <c r="G7">
        <v>7.3877200000000004E-3</v>
      </c>
      <c r="H7">
        <v>8.0516609999999999E-3</v>
      </c>
      <c r="I7">
        <v>6.7147379999999996E-3</v>
      </c>
    </row>
    <row r="8" spans="1:9" x14ac:dyDescent="0.4">
      <c r="A8">
        <f t="shared" si="0"/>
        <v>20</v>
      </c>
      <c r="B8">
        <v>5</v>
      </c>
      <c r="C8" t="s">
        <v>10</v>
      </c>
      <c r="D8">
        <v>2.9023759999999999E-3</v>
      </c>
      <c r="E8">
        <v>3.1803539999999998E-3</v>
      </c>
      <c r="F8">
        <v>2.6206580000000001E-3</v>
      </c>
      <c r="G8">
        <v>1.4407339999999999E-2</v>
      </c>
      <c r="H8">
        <v>1.5776335999999998E-2</v>
      </c>
      <c r="I8">
        <v>1.3018001E-2</v>
      </c>
    </row>
    <row r="9" spans="1:9" x14ac:dyDescent="0.4">
      <c r="A9">
        <f t="shared" si="0"/>
        <v>25</v>
      </c>
      <c r="B9">
        <v>5</v>
      </c>
      <c r="C9" t="s">
        <v>11</v>
      </c>
      <c r="D9">
        <v>4.9252180000000003E-3</v>
      </c>
      <c r="E9">
        <v>5.3908209999999996E-3</v>
      </c>
      <c r="F9">
        <v>4.4518129999999998E-3</v>
      </c>
      <c r="G9">
        <v>2.4326558000000002E-2</v>
      </c>
      <c r="H9">
        <v>2.6595674999999999E-2</v>
      </c>
      <c r="I9">
        <v>2.2014059999999998E-2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7.2497009999999999E-3</v>
      </c>
      <c r="E10">
        <v>8.2118169999999997E-3</v>
      </c>
      <c r="F10">
        <v>6.2704320000000003E-3</v>
      </c>
      <c r="G10">
        <v>3.5603223000000003E-2</v>
      </c>
      <c r="H10">
        <v>4.0233115999999999E-2</v>
      </c>
      <c r="I10">
        <v>3.0868264999999999E-2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8.7845360000000008E-3</v>
      </c>
      <c r="E11">
        <v>1.0363961E-2</v>
      </c>
      <c r="F11">
        <v>7.1893649999999996E-3</v>
      </c>
      <c r="G11">
        <v>4.2978809999999999E-2</v>
      </c>
      <c r="H11">
        <v>5.0511068999999999E-2</v>
      </c>
      <c r="I11">
        <v>3.5312145000000003E-2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9.9886850000000006E-3</v>
      </c>
      <c r="E12">
        <v>1.2151659E-2</v>
      </c>
      <c r="F12">
        <v>7.8593489999999998E-3</v>
      </c>
      <c r="G12">
        <v>4.8726639000000002E-2</v>
      </c>
      <c r="H12">
        <v>5.8966929000000001E-2</v>
      </c>
      <c r="I12">
        <v>3.8539506000000001E-2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1.0822221999999999E-2</v>
      </c>
      <c r="E13">
        <v>1.3556969E-2</v>
      </c>
      <c r="F13">
        <v>8.2174880000000002E-3</v>
      </c>
      <c r="G13">
        <v>5.2685669999999997E-2</v>
      </c>
      <c r="H13">
        <v>6.5562765999999995E-2</v>
      </c>
      <c r="I13">
        <v>4.0260344000000003E-2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1.297353E-2</v>
      </c>
      <c r="E14">
        <v>1.6607838999999999E-2</v>
      </c>
      <c r="F14">
        <v>9.6282060000000003E-3</v>
      </c>
      <c r="G14">
        <v>6.2829836E-2</v>
      </c>
      <c r="H14">
        <v>7.9728884999999999E-2</v>
      </c>
      <c r="I14">
        <v>4.7009486000000003E-2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1.5430276E-2</v>
      </c>
      <c r="E15">
        <v>2.0014868000000002E-2</v>
      </c>
      <c r="F15">
        <v>1.14287E-2</v>
      </c>
      <c r="G15">
        <v>7.4285754999999995E-2</v>
      </c>
      <c r="H15">
        <v>9.5305521000000004E-2</v>
      </c>
      <c r="I15">
        <v>5.5556161E-2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2.0202741E-2</v>
      </c>
      <c r="E16">
        <v>2.6369244999999999E-2</v>
      </c>
      <c r="F16">
        <v>1.5198799000000001E-2</v>
      </c>
      <c r="G16">
        <v>9.6157112000000003E-2</v>
      </c>
      <c r="H16">
        <v>0.12369206200000001</v>
      </c>
      <c r="I16">
        <v>7.3212153000000002E-2</v>
      </c>
    </row>
    <row r="17" spans="1:11" x14ac:dyDescent="0.4">
      <c r="A17">
        <f t="shared" si="0"/>
        <v>65</v>
      </c>
      <c r="B17">
        <v>5</v>
      </c>
      <c r="C17" t="s">
        <v>19</v>
      </c>
      <c r="D17">
        <v>2.7588392E-2</v>
      </c>
      <c r="E17">
        <v>3.5424866999999999E-2</v>
      </c>
      <c r="F17">
        <v>2.1726037E-2</v>
      </c>
      <c r="G17">
        <v>0.12904182</v>
      </c>
      <c r="H17">
        <v>0.16271402700000001</v>
      </c>
      <c r="I17">
        <v>0.103033892</v>
      </c>
    </row>
    <row r="18" spans="1:11" x14ac:dyDescent="0.4">
      <c r="A18">
        <f t="shared" si="0"/>
        <v>70</v>
      </c>
      <c r="B18">
        <v>5</v>
      </c>
      <c r="C18" t="s">
        <v>20</v>
      </c>
      <c r="D18">
        <v>3.6296851999999998E-2</v>
      </c>
      <c r="E18">
        <v>4.5114769999999998E-2</v>
      </c>
      <c r="F18">
        <v>3.0352836000000001E-2</v>
      </c>
      <c r="G18">
        <v>0.16638603599999999</v>
      </c>
      <c r="H18">
        <v>0.20271072800000001</v>
      </c>
      <c r="I18">
        <v>0.14106023300000001</v>
      </c>
    </row>
    <row r="19" spans="1:11" x14ac:dyDescent="0.4">
      <c r="A19">
        <f t="shared" si="0"/>
        <v>75</v>
      </c>
      <c r="B19">
        <v>5</v>
      </c>
      <c r="C19" t="s">
        <v>21</v>
      </c>
      <c r="D19">
        <v>5.1467613000000002E-2</v>
      </c>
      <c r="E19">
        <v>6.3585644999999996E-2</v>
      </c>
      <c r="F19">
        <v>4.4348931000000001E-2</v>
      </c>
      <c r="G19">
        <v>0.22800135299999999</v>
      </c>
      <c r="H19">
        <v>0.27432102800000002</v>
      </c>
      <c r="I19">
        <v>0.199613086</v>
      </c>
    </row>
    <row r="20" spans="1:11" x14ac:dyDescent="0.4">
      <c r="A20">
        <f t="shared" si="0"/>
        <v>80</v>
      </c>
      <c r="B20">
        <v>5</v>
      </c>
      <c r="C20" t="s">
        <v>22</v>
      </c>
      <c r="D20">
        <v>9.3302219000000006E-2</v>
      </c>
      <c r="E20">
        <v>0.10730060199999999</v>
      </c>
      <c r="F20">
        <v>8.6519169000000007E-2</v>
      </c>
      <c r="G20">
        <v>0.37827609699999998</v>
      </c>
      <c r="H20">
        <v>0.42302572199999999</v>
      </c>
      <c r="I20">
        <v>0.35566602400000003</v>
      </c>
    </row>
    <row r="21" spans="1:11" x14ac:dyDescent="0.4">
      <c r="A21">
        <f t="shared" si="0"/>
        <v>85</v>
      </c>
      <c r="B21" t="s">
        <v>39</v>
      </c>
      <c r="C21" t="s">
        <v>23</v>
      </c>
      <c r="D21">
        <v>0.18950083400000001</v>
      </c>
      <c r="E21">
        <v>0.20611549600000001</v>
      </c>
      <c r="F21">
        <v>0.18303269699999999</v>
      </c>
      <c r="G21">
        <v>1</v>
      </c>
      <c r="H21">
        <v>1</v>
      </c>
      <c r="I21">
        <v>1</v>
      </c>
    </row>
    <row r="27" spans="1:11" x14ac:dyDescent="0.4">
      <c r="A27" t="s">
        <v>1</v>
      </c>
      <c r="B27" t="s">
        <v>37</v>
      </c>
      <c r="C27" t="s">
        <v>38</v>
      </c>
      <c r="D27" s="2" t="s">
        <v>40</v>
      </c>
      <c r="E27" s="2" t="s">
        <v>41</v>
      </c>
      <c r="F27" s="2" t="s">
        <v>44</v>
      </c>
      <c r="G27" s="2" t="s">
        <v>45</v>
      </c>
      <c r="H27" s="2" t="s">
        <v>46</v>
      </c>
      <c r="I27" s="2" t="s">
        <v>47</v>
      </c>
      <c r="J27" s="2" t="s">
        <v>48</v>
      </c>
      <c r="K27" s="2" t="s">
        <v>49</v>
      </c>
    </row>
    <row r="28" spans="1:11" x14ac:dyDescent="0.4">
      <c r="A28" t="s">
        <v>5</v>
      </c>
      <c r="B28">
        <v>0</v>
      </c>
      <c r="C28">
        <v>1</v>
      </c>
      <c r="G28" s="7"/>
      <c r="H28" s="7"/>
    </row>
    <row r="29" spans="1:11" x14ac:dyDescent="0.4">
      <c r="A29" t="s">
        <v>6</v>
      </c>
      <c r="B29">
        <v>1</v>
      </c>
      <c r="C29">
        <v>4</v>
      </c>
      <c r="G29" s="7"/>
      <c r="H29" s="7"/>
    </row>
    <row r="30" spans="1:11" x14ac:dyDescent="0.4">
      <c r="A30" t="s">
        <v>7</v>
      </c>
      <c r="B30">
        <v>5</v>
      </c>
      <c r="C30">
        <v>5</v>
      </c>
      <c r="G30" s="7"/>
      <c r="H30" s="7"/>
    </row>
    <row r="31" spans="1:11" x14ac:dyDescent="0.4">
      <c r="A31" t="s">
        <v>8</v>
      </c>
      <c r="B31">
        <f>B30+5</f>
        <v>10</v>
      </c>
      <c r="C31">
        <v>5</v>
      </c>
      <c r="G31" s="7"/>
      <c r="H31" s="7"/>
    </row>
    <row r="32" spans="1:11" x14ac:dyDescent="0.4">
      <c r="A32" t="s">
        <v>9</v>
      </c>
      <c r="B32">
        <f t="shared" ref="B32:B46" si="1">B31+5</f>
        <v>15</v>
      </c>
      <c r="C32">
        <v>5</v>
      </c>
      <c r="G32" s="7"/>
      <c r="H32" s="7"/>
    </row>
    <row r="33" spans="1:8" x14ac:dyDescent="0.4">
      <c r="A33" t="s">
        <v>10</v>
      </c>
      <c r="B33">
        <f t="shared" si="1"/>
        <v>20</v>
      </c>
      <c r="C33">
        <v>5</v>
      </c>
      <c r="G33" s="7"/>
      <c r="H33" s="7"/>
    </row>
    <row r="34" spans="1:8" x14ac:dyDescent="0.4">
      <c r="A34" t="s">
        <v>11</v>
      </c>
      <c r="B34">
        <f t="shared" si="1"/>
        <v>25</v>
      </c>
      <c r="C34">
        <v>5</v>
      </c>
      <c r="G34" s="7"/>
      <c r="H34" s="7"/>
    </row>
    <row r="35" spans="1:8" x14ac:dyDescent="0.4">
      <c r="A35" t="s">
        <v>12</v>
      </c>
      <c r="B35">
        <f t="shared" si="1"/>
        <v>30</v>
      </c>
      <c r="C35">
        <v>5</v>
      </c>
      <c r="G35" s="7"/>
      <c r="H35" s="7"/>
    </row>
    <row r="36" spans="1:8" x14ac:dyDescent="0.4">
      <c r="A36" t="s">
        <v>13</v>
      </c>
      <c r="B36">
        <f t="shared" si="1"/>
        <v>35</v>
      </c>
      <c r="C36">
        <v>5</v>
      </c>
      <c r="G36" s="7"/>
      <c r="H36" s="7"/>
    </row>
    <row r="37" spans="1:8" x14ac:dyDescent="0.4">
      <c r="A37" t="s">
        <v>14</v>
      </c>
      <c r="B37">
        <f t="shared" si="1"/>
        <v>40</v>
      </c>
      <c r="C37">
        <v>5</v>
      </c>
      <c r="G37" s="7"/>
      <c r="H37" s="7"/>
    </row>
    <row r="38" spans="1:8" x14ac:dyDescent="0.4">
      <c r="A38" t="s">
        <v>15</v>
      </c>
      <c r="B38">
        <f t="shared" si="1"/>
        <v>45</v>
      </c>
      <c r="C38">
        <v>5</v>
      </c>
      <c r="G38" s="7"/>
      <c r="H38" s="7"/>
    </row>
    <row r="39" spans="1:8" x14ac:dyDescent="0.4">
      <c r="A39" t="s">
        <v>16</v>
      </c>
      <c r="B39">
        <f t="shared" si="1"/>
        <v>50</v>
      </c>
      <c r="C39">
        <v>5</v>
      </c>
      <c r="G39" s="7"/>
      <c r="H39" s="7"/>
    </row>
    <row r="40" spans="1:8" x14ac:dyDescent="0.4">
      <c r="A40" t="s">
        <v>17</v>
      </c>
      <c r="B40">
        <f t="shared" si="1"/>
        <v>55</v>
      </c>
      <c r="C40">
        <v>5</v>
      </c>
      <c r="G40" s="7"/>
      <c r="H40" s="7"/>
    </row>
    <row r="41" spans="1:8" x14ac:dyDescent="0.4">
      <c r="A41" t="s">
        <v>18</v>
      </c>
      <c r="B41">
        <f t="shared" si="1"/>
        <v>60</v>
      </c>
      <c r="C41">
        <v>5</v>
      </c>
      <c r="G41" s="7"/>
      <c r="H41" s="7"/>
    </row>
    <row r="42" spans="1:8" x14ac:dyDescent="0.4">
      <c r="A42" t="s">
        <v>19</v>
      </c>
      <c r="B42">
        <f t="shared" si="1"/>
        <v>65</v>
      </c>
      <c r="C42">
        <v>5</v>
      </c>
      <c r="G42" s="7"/>
      <c r="H42" s="7"/>
    </row>
    <row r="43" spans="1:8" x14ac:dyDescent="0.4">
      <c r="A43" t="s">
        <v>20</v>
      </c>
      <c r="B43">
        <f t="shared" si="1"/>
        <v>70</v>
      </c>
      <c r="C43">
        <v>5</v>
      </c>
      <c r="G43" s="7"/>
      <c r="H43" s="7"/>
    </row>
    <row r="44" spans="1:8" x14ac:dyDescent="0.4">
      <c r="A44" t="s">
        <v>21</v>
      </c>
      <c r="B44">
        <f t="shared" si="1"/>
        <v>75</v>
      </c>
      <c r="C44">
        <v>5</v>
      </c>
      <c r="G44" s="7"/>
      <c r="H44" s="7"/>
    </row>
    <row r="45" spans="1:8" x14ac:dyDescent="0.4">
      <c r="A45" t="s">
        <v>22</v>
      </c>
      <c r="B45">
        <f t="shared" si="1"/>
        <v>80</v>
      </c>
      <c r="C45">
        <v>5</v>
      </c>
      <c r="G45" s="7"/>
      <c r="H45" s="7"/>
    </row>
    <row r="46" spans="1:8" x14ac:dyDescent="0.4">
      <c r="A46" t="s">
        <v>23</v>
      </c>
      <c r="B46">
        <f t="shared" si="1"/>
        <v>85</v>
      </c>
      <c r="C46" t="s">
        <v>39</v>
      </c>
      <c r="G46" s="7"/>
      <c r="H46" s="7"/>
    </row>
  </sheetData>
  <mergeCells count="2">
    <mergeCell ref="D1:F1"/>
    <mergeCell ref="G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A80D-C542-4BBC-914B-BFA75D0EED51}">
  <dimension ref="A1:K45"/>
  <sheetViews>
    <sheetView topLeftCell="A16" workbookViewId="0">
      <selection activeCell="A26" sqref="A26:K45"/>
    </sheetView>
  </sheetViews>
  <sheetFormatPr defaultRowHeight="14.6" x14ac:dyDescent="0.4"/>
  <sheetData>
    <row r="1" spans="1:9" x14ac:dyDescent="0.4">
      <c r="B1" t="s">
        <v>33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1.2431416000000001E-2</v>
      </c>
      <c r="E3">
        <v>1.3869970000000001E-2</v>
      </c>
      <c r="F3">
        <v>1.0925167E-2</v>
      </c>
      <c r="G3">
        <v>1.2293869000000001E-2</v>
      </c>
      <c r="H3">
        <v>1.3698966E-2</v>
      </c>
      <c r="I3">
        <v>1.081879E-2</v>
      </c>
    </row>
    <row r="4" spans="1:9" x14ac:dyDescent="0.4">
      <c r="A4">
        <v>1</v>
      </c>
      <c r="B4">
        <v>4</v>
      </c>
      <c r="C4" t="s">
        <v>6</v>
      </c>
      <c r="D4">
        <v>3.7899800000000002E-4</v>
      </c>
      <c r="E4">
        <v>4.1623799999999998E-4</v>
      </c>
      <c r="F4">
        <v>3.3999600000000002E-4</v>
      </c>
      <c r="G4">
        <v>1.5146140000000001E-3</v>
      </c>
      <c r="H4">
        <v>1.663288E-3</v>
      </c>
      <c r="I4">
        <v>1.3588750000000001E-3</v>
      </c>
    </row>
    <row r="5" spans="1:9" x14ac:dyDescent="0.4">
      <c r="A5">
        <v>5</v>
      </c>
      <c r="B5">
        <v>5</v>
      </c>
      <c r="C5" t="s">
        <v>7</v>
      </c>
      <c r="D5">
        <v>1.9527699999999999E-4</v>
      </c>
      <c r="E5">
        <v>2.1448600000000001E-4</v>
      </c>
      <c r="F5">
        <v>1.7519899999999999E-4</v>
      </c>
      <c r="G5">
        <v>9.7590800000000005E-4</v>
      </c>
      <c r="H5">
        <v>1.071855E-3</v>
      </c>
      <c r="I5">
        <v>8.7561099999999999E-4</v>
      </c>
    </row>
    <row r="6" spans="1:9" x14ac:dyDescent="0.4">
      <c r="A6">
        <f>A5+5</f>
        <v>10</v>
      </c>
      <c r="B6">
        <v>5</v>
      </c>
      <c r="C6" t="s">
        <v>8</v>
      </c>
      <c r="D6">
        <v>2.7711599999999999E-4</v>
      </c>
      <c r="E6">
        <v>3.3757900000000001E-4</v>
      </c>
      <c r="F6">
        <v>2.14188E-4</v>
      </c>
      <c r="G6">
        <v>1.3846209999999999E-3</v>
      </c>
      <c r="H6">
        <v>1.6864720000000001E-3</v>
      </c>
      <c r="I6">
        <v>1.070367E-3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1.2709279999999999E-3</v>
      </c>
      <c r="E7">
        <v>2.0910030000000001E-3</v>
      </c>
      <c r="F7">
        <v>4.2191199999999998E-4</v>
      </c>
      <c r="G7">
        <v>6.3345149999999998E-3</v>
      </c>
      <c r="H7">
        <v>1.0400645E-2</v>
      </c>
      <c r="I7">
        <v>2.1073390000000002E-3</v>
      </c>
    </row>
    <row r="8" spans="1:9" x14ac:dyDescent="0.4">
      <c r="A8">
        <f t="shared" si="0"/>
        <v>20</v>
      </c>
      <c r="B8">
        <v>5</v>
      </c>
      <c r="C8" t="s">
        <v>10</v>
      </c>
      <c r="D8">
        <v>1.6812439999999999E-3</v>
      </c>
      <c r="E8">
        <v>2.8054970000000001E-3</v>
      </c>
      <c r="F8">
        <v>5.2824700000000003E-4</v>
      </c>
      <c r="G8">
        <v>8.3710329999999999E-3</v>
      </c>
      <c r="H8">
        <v>1.3929786E-2</v>
      </c>
      <c r="I8">
        <v>2.637749E-3</v>
      </c>
    </row>
    <row r="9" spans="1:9" x14ac:dyDescent="0.4">
      <c r="A9">
        <f t="shared" si="0"/>
        <v>25</v>
      </c>
      <c r="B9">
        <v>5</v>
      </c>
      <c r="C9" t="s">
        <v>11</v>
      </c>
      <c r="D9">
        <v>1.543141E-3</v>
      </c>
      <c r="E9">
        <v>2.4643849999999999E-3</v>
      </c>
      <c r="F9">
        <v>6.0992700000000002E-4</v>
      </c>
      <c r="G9">
        <v>7.6860540000000003E-3</v>
      </c>
      <c r="H9">
        <v>1.2246475999999999E-2</v>
      </c>
      <c r="I9">
        <v>3.0449940000000001E-3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1.5899919999999999E-3</v>
      </c>
      <c r="E10">
        <v>2.3715289999999998E-3</v>
      </c>
      <c r="F10">
        <v>8.0993600000000003E-4</v>
      </c>
      <c r="G10">
        <v>7.9184830000000005E-3</v>
      </c>
      <c r="H10">
        <v>1.1787756E-2</v>
      </c>
      <c r="I10">
        <v>4.0414980000000001E-3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2.0206460000000001E-3</v>
      </c>
      <c r="E11">
        <v>2.7931309999999999E-3</v>
      </c>
      <c r="F11">
        <v>1.2615440000000001E-3</v>
      </c>
      <c r="G11">
        <v>1.0052449999999999E-2</v>
      </c>
      <c r="H11">
        <v>1.3868810000000001E-2</v>
      </c>
      <c r="I11">
        <v>6.2878910000000003E-3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2.5918289999999999E-3</v>
      </c>
      <c r="E12">
        <v>3.4595870000000001E-3</v>
      </c>
      <c r="F12">
        <v>1.7527759999999999E-3</v>
      </c>
      <c r="G12">
        <v>1.2875714E-2</v>
      </c>
      <c r="H12">
        <v>1.7149607000000001E-2</v>
      </c>
      <c r="I12">
        <v>8.7256450000000006E-3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3.670834E-3</v>
      </c>
      <c r="E13">
        <v>4.8541729999999998E-3</v>
      </c>
      <c r="F13">
        <v>2.5494099999999998E-3</v>
      </c>
      <c r="G13">
        <v>1.8187262999999999E-2</v>
      </c>
      <c r="H13">
        <v>2.3979859999999999E-2</v>
      </c>
      <c r="I13">
        <v>1.2666320999999999E-2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5.2966030000000004E-3</v>
      </c>
      <c r="E14">
        <v>6.9313409999999997E-3</v>
      </c>
      <c r="F14">
        <v>3.782241E-3</v>
      </c>
      <c r="G14">
        <v>2.6136921E-2</v>
      </c>
      <c r="H14">
        <v>3.4066388000000003E-2</v>
      </c>
      <c r="I14">
        <v>1.8734064000000002E-2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7.9337739999999993E-3</v>
      </c>
      <c r="E15">
        <v>1.0346113000000001E-2</v>
      </c>
      <c r="F15">
        <v>5.7532599999999996E-3</v>
      </c>
      <c r="G15">
        <v>3.8897362999999997E-2</v>
      </c>
      <c r="H15">
        <v>5.0426275E-2</v>
      </c>
      <c r="I15">
        <v>2.8358418999999999E-2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1.1980012E-2</v>
      </c>
      <c r="E16">
        <v>1.5575075000000001E-2</v>
      </c>
      <c r="F16">
        <v>8.8301990000000004E-3</v>
      </c>
      <c r="G16">
        <v>5.8158221000000003E-2</v>
      </c>
      <c r="H16">
        <v>7.4956730999999999E-2</v>
      </c>
      <c r="I16">
        <v>4.3197390000000002E-2</v>
      </c>
    </row>
    <row r="17" spans="1:11" x14ac:dyDescent="0.4">
      <c r="A17">
        <f t="shared" si="0"/>
        <v>65</v>
      </c>
      <c r="B17">
        <v>5</v>
      </c>
      <c r="C17" t="s">
        <v>19</v>
      </c>
      <c r="D17">
        <v>1.7832042999999999E-2</v>
      </c>
      <c r="E17">
        <v>2.3082524E-2</v>
      </c>
      <c r="F17">
        <v>1.3413955E-2</v>
      </c>
      <c r="G17">
        <v>8.5355077000000001E-2</v>
      </c>
      <c r="H17">
        <v>0.10911594199999999</v>
      </c>
      <c r="I17">
        <v>6.4893576999999994E-2</v>
      </c>
    </row>
    <row r="18" spans="1:11" x14ac:dyDescent="0.4">
      <c r="A18">
        <f t="shared" si="0"/>
        <v>70</v>
      </c>
      <c r="B18">
        <v>5</v>
      </c>
      <c r="C18" t="s">
        <v>20</v>
      </c>
      <c r="D18">
        <v>2.7676722000000001E-2</v>
      </c>
      <c r="E18">
        <v>3.5022610000000003E-2</v>
      </c>
      <c r="F18">
        <v>2.1835957999999999E-2</v>
      </c>
      <c r="G18">
        <v>0.129428236</v>
      </c>
      <c r="H18">
        <v>0.16101512400000001</v>
      </c>
      <c r="I18">
        <v>0.103528198</v>
      </c>
    </row>
    <row r="19" spans="1:11" x14ac:dyDescent="0.4">
      <c r="A19">
        <f t="shared" si="0"/>
        <v>75</v>
      </c>
      <c r="B19">
        <v>5</v>
      </c>
      <c r="C19" t="s">
        <v>21</v>
      </c>
      <c r="D19">
        <v>4.2341647000000003E-2</v>
      </c>
      <c r="E19">
        <v>5.1833697999999997E-2</v>
      </c>
      <c r="F19">
        <v>3.5360385000000001E-2</v>
      </c>
      <c r="G19">
        <v>0.19144318599999999</v>
      </c>
      <c r="H19">
        <v>0.22943706</v>
      </c>
      <c r="I19">
        <v>0.162441905</v>
      </c>
    </row>
    <row r="20" spans="1:11" x14ac:dyDescent="0.4">
      <c r="A20">
        <f t="shared" si="0"/>
        <v>80</v>
      </c>
      <c r="B20">
        <v>5</v>
      </c>
      <c r="C20" t="s">
        <v>22</v>
      </c>
      <c r="D20">
        <v>6.6461491999999997E-2</v>
      </c>
      <c r="E20">
        <v>8.0376842000000004E-2</v>
      </c>
      <c r="F20">
        <v>5.7251555000000003E-2</v>
      </c>
      <c r="G20">
        <v>0.284960251</v>
      </c>
      <c r="H20">
        <v>0.334640787</v>
      </c>
      <c r="I20">
        <v>0.25041601000000002</v>
      </c>
    </row>
    <row r="21" spans="1:11" x14ac:dyDescent="0.4">
      <c r="A21">
        <f t="shared" si="0"/>
        <v>85</v>
      </c>
      <c r="B21" t="s">
        <v>39</v>
      </c>
      <c r="C21" t="s">
        <v>23</v>
      </c>
      <c r="D21">
        <v>0.15531558200000001</v>
      </c>
      <c r="E21">
        <v>0.18041303</v>
      </c>
      <c r="F21">
        <v>0.14221595100000001</v>
      </c>
      <c r="G21">
        <v>1</v>
      </c>
      <c r="H21">
        <v>1</v>
      </c>
      <c r="I21">
        <v>1</v>
      </c>
    </row>
    <row r="26" spans="1:11" x14ac:dyDescent="0.4">
      <c r="A26" t="s">
        <v>1</v>
      </c>
      <c r="B26" t="s">
        <v>37</v>
      </c>
      <c r="C26" t="s">
        <v>38</v>
      </c>
      <c r="D26" s="2" t="s">
        <v>40</v>
      </c>
      <c r="E26" s="2" t="s">
        <v>41</v>
      </c>
      <c r="F26" s="2" t="s">
        <v>44</v>
      </c>
      <c r="G26" s="2" t="s">
        <v>45</v>
      </c>
      <c r="H26" s="2" t="s">
        <v>46</v>
      </c>
      <c r="I26" s="2" t="s">
        <v>47</v>
      </c>
      <c r="J26" s="2" t="s">
        <v>48</v>
      </c>
      <c r="K26" s="2" t="s">
        <v>49</v>
      </c>
    </row>
    <row r="27" spans="1:11" x14ac:dyDescent="0.4">
      <c r="A27" t="s">
        <v>5</v>
      </c>
      <c r="B27">
        <v>0</v>
      </c>
      <c r="C27">
        <v>1</v>
      </c>
      <c r="G27" s="7"/>
      <c r="H27" s="7"/>
    </row>
    <row r="28" spans="1:11" x14ac:dyDescent="0.4">
      <c r="A28" t="s">
        <v>6</v>
      </c>
      <c r="B28">
        <v>1</v>
      </c>
      <c r="C28">
        <v>4</v>
      </c>
      <c r="G28" s="7"/>
      <c r="H28" s="7"/>
    </row>
    <row r="29" spans="1:11" x14ac:dyDescent="0.4">
      <c r="A29" t="s">
        <v>7</v>
      </c>
      <c r="B29">
        <v>5</v>
      </c>
      <c r="C29">
        <v>5</v>
      </c>
      <c r="G29" s="7"/>
      <c r="H29" s="7"/>
    </row>
    <row r="30" spans="1:11" x14ac:dyDescent="0.4">
      <c r="A30" t="s">
        <v>8</v>
      </c>
      <c r="B30">
        <f>B29+5</f>
        <v>10</v>
      </c>
      <c r="C30">
        <v>5</v>
      </c>
      <c r="G30" s="7"/>
      <c r="H30" s="7"/>
    </row>
    <row r="31" spans="1:11" x14ac:dyDescent="0.4">
      <c r="A31" t="s">
        <v>9</v>
      </c>
      <c r="B31">
        <f t="shared" ref="B31:B45" si="1">B30+5</f>
        <v>15</v>
      </c>
      <c r="C31">
        <v>5</v>
      </c>
      <c r="G31" s="7"/>
      <c r="H31" s="7"/>
    </row>
    <row r="32" spans="1:11" x14ac:dyDescent="0.4">
      <c r="A32" t="s">
        <v>10</v>
      </c>
      <c r="B32">
        <f t="shared" si="1"/>
        <v>20</v>
      </c>
      <c r="C32">
        <v>5</v>
      </c>
      <c r="G32" s="7"/>
      <c r="H32" s="7"/>
    </row>
    <row r="33" spans="1:8" x14ac:dyDescent="0.4">
      <c r="A33" t="s">
        <v>11</v>
      </c>
      <c r="B33">
        <f t="shared" si="1"/>
        <v>25</v>
      </c>
      <c r="C33">
        <v>5</v>
      </c>
      <c r="G33" s="7"/>
      <c r="H33" s="7"/>
    </row>
    <row r="34" spans="1:8" x14ac:dyDescent="0.4">
      <c r="A34" t="s">
        <v>12</v>
      </c>
      <c r="B34">
        <f t="shared" si="1"/>
        <v>30</v>
      </c>
      <c r="C34">
        <v>5</v>
      </c>
      <c r="G34" s="7"/>
      <c r="H34" s="7"/>
    </row>
    <row r="35" spans="1:8" x14ac:dyDescent="0.4">
      <c r="A35" t="s">
        <v>13</v>
      </c>
      <c r="B35">
        <f t="shared" si="1"/>
        <v>35</v>
      </c>
      <c r="C35">
        <v>5</v>
      </c>
      <c r="G35" s="7"/>
      <c r="H35" s="7"/>
    </row>
    <row r="36" spans="1:8" x14ac:dyDescent="0.4">
      <c r="A36" t="s">
        <v>14</v>
      </c>
      <c r="B36">
        <f t="shared" si="1"/>
        <v>40</v>
      </c>
      <c r="C36">
        <v>5</v>
      </c>
      <c r="G36" s="7"/>
      <c r="H36" s="7"/>
    </row>
    <row r="37" spans="1:8" x14ac:dyDescent="0.4">
      <c r="A37" t="s">
        <v>15</v>
      </c>
      <c r="B37">
        <f t="shared" si="1"/>
        <v>45</v>
      </c>
      <c r="C37">
        <v>5</v>
      </c>
      <c r="G37" s="7"/>
      <c r="H37" s="7"/>
    </row>
    <row r="38" spans="1:8" x14ac:dyDescent="0.4">
      <c r="A38" t="s">
        <v>16</v>
      </c>
      <c r="B38">
        <f t="shared" si="1"/>
        <v>50</v>
      </c>
      <c r="C38">
        <v>5</v>
      </c>
      <c r="G38" s="7"/>
      <c r="H38" s="7"/>
    </row>
    <row r="39" spans="1:8" x14ac:dyDescent="0.4">
      <c r="A39" t="s">
        <v>17</v>
      </c>
      <c r="B39">
        <f t="shared" si="1"/>
        <v>55</v>
      </c>
      <c r="C39">
        <v>5</v>
      </c>
      <c r="G39" s="7"/>
      <c r="H39" s="7"/>
    </row>
    <row r="40" spans="1:8" x14ac:dyDescent="0.4">
      <c r="A40" t="s">
        <v>18</v>
      </c>
      <c r="B40">
        <f t="shared" si="1"/>
        <v>60</v>
      </c>
      <c r="C40">
        <v>5</v>
      </c>
      <c r="G40" s="7"/>
      <c r="H40" s="7"/>
    </row>
    <row r="41" spans="1:8" x14ac:dyDescent="0.4">
      <c r="A41" t="s">
        <v>19</v>
      </c>
      <c r="B41">
        <f t="shared" si="1"/>
        <v>65</v>
      </c>
      <c r="C41">
        <v>5</v>
      </c>
      <c r="G41" s="7"/>
      <c r="H41" s="7"/>
    </row>
    <row r="42" spans="1:8" x14ac:dyDescent="0.4">
      <c r="A42" t="s">
        <v>20</v>
      </c>
      <c r="B42">
        <f t="shared" si="1"/>
        <v>70</v>
      </c>
      <c r="C42">
        <v>5</v>
      </c>
      <c r="G42" s="7"/>
      <c r="H42" s="7"/>
    </row>
    <row r="43" spans="1:8" x14ac:dyDescent="0.4">
      <c r="A43" t="s">
        <v>21</v>
      </c>
      <c r="B43">
        <f t="shared" si="1"/>
        <v>75</v>
      </c>
      <c r="C43">
        <v>5</v>
      </c>
      <c r="G43" s="7"/>
      <c r="H43" s="7"/>
    </row>
    <row r="44" spans="1:8" x14ac:dyDescent="0.4">
      <c r="A44" t="s">
        <v>22</v>
      </c>
      <c r="B44">
        <f t="shared" si="1"/>
        <v>80</v>
      </c>
      <c r="C44">
        <v>5</v>
      </c>
      <c r="G44" s="7"/>
      <c r="H44" s="7"/>
    </row>
    <row r="45" spans="1:8" x14ac:dyDescent="0.4">
      <c r="A45" t="s">
        <v>23</v>
      </c>
      <c r="B45">
        <f t="shared" si="1"/>
        <v>85</v>
      </c>
      <c r="C45" t="s">
        <v>39</v>
      </c>
      <c r="G45" s="7"/>
      <c r="H45" s="7"/>
    </row>
  </sheetData>
  <mergeCells count="2">
    <mergeCell ref="D1:F1"/>
    <mergeCell ref="G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5516-28F1-45E8-B5FC-DE6152CCFF52}">
  <dimension ref="A1:K44"/>
  <sheetViews>
    <sheetView workbookViewId="0">
      <selection activeCell="F22" sqref="F22"/>
    </sheetView>
  </sheetViews>
  <sheetFormatPr defaultRowHeight="14.6" x14ac:dyDescent="0.4"/>
  <sheetData>
    <row r="1" spans="1:9" x14ac:dyDescent="0.4">
      <c r="B1" t="s">
        <v>34</v>
      </c>
      <c r="C1">
        <v>2019</v>
      </c>
      <c r="D1" s="8" t="s">
        <v>35</v>
      </c>
      <c r="E1" s="8"/>
      <c r="F1" s="8"/>
      <c r="G1" s="8" t="s">
        <v>36</v>
      </c>
      <c r="H1" s="8"/>
      <c r="I1" s="8"/>
    </row>
    <row r="2" spans="1:9" x14ac:dyDescent="0.4">
      <c r="A2" t="s">
        <v>37</v>
      </c>
      <c r="B2" t="s">
        <v>38</v>
      </c>
      <c r="C2" t="s">
        <v>1</v>
      </c>
      <c r="D2" t="s">
        <v>2</v>
      </c>
      <c r="E2" t="s">
        <v>3</v>
      </c>
      <c r="F2" t="s">
        <v>4</v>
      </c>
      <c r="G2" t="s">
        <v>2</v>
      </c>
      <c r="H2" t="s">
        <v>3</v>
      </c>
      <c r="I2" t="s">
        <v>4</v>
      </c>
    </row>
    <row r="3" spans="1:9" x14ac:dyDescent="0.4">
      <c r="A3">
        <v>0</v>
      </c>
      <c r="B3">
        <v>1</v>
      </c>
      <c r="C3" t="s">
        <v>5</v>
      </c>
      <c r="D3">
        <v>2.769812E-3</v>
      </c>
      <c r="E3">
        <v>2.9909630000000001E-3</v>
      </c>
      <c r="F3">
        <v>2.5351380000000001E-3</v>
      </c>
      <c r="G3">
        <v>2.7629249999999998E-3</v>
      </c>
      <c r="H3">
        <v>2.982934E-3</v>
      </c>
      <c r="I3">
        <v>2.5293659999999999E-3</v>
      </c>
    </row>
    <row r="4" spans="1:9" x14ac:dyDescent="0.4">
      <c r="A4">
        <v>1</v>
      </c>
      <c r="B4">
        <v>4</v>
      </c>
      <c r="C4" t="s">
        <v>6</v>
      </c>
      <c r="D4">
        <v>1.12952E-4</v>
      </c>
      <c r="E4">
        <v>1.20448E-4</v>
      </c>
      <c r="F4">
        <v>1.0499E-4</v>
      </c>
      <c r="G4">
        <v>4.5168699999999999E-4</v>
      </c>
      <c r="H4">
        <v>4.8165300000000002E-4</v>
      </c>
      <c r="I4">
        <v>4.1985299999999998E-4</v>
      </c>
    </row>
    <row r="5" spans="1:9" x14ac:dyDescent="0.4">
      <c r="A5">
        <v>5</v>
      </c>
      <c r="B5">
        <v>5</v>
      </c>
      <c r="C5" t="s">
        <v>7</v>
      </c>
      <c r="D5" s="1">
        <v>7.5199999999999998E-5</v>
      </c>
      <c r="E5" s="1">
        <v>8.0199999999999998E-5</v>
      </c>
      <c r="F5" s="1">
        <v>6.9900000000000005E-5</v>
      </c>
      <c r="G5">
        <v>3.7612000000000002E-4</v>
      </c>
      <c r="H5">
        <v>4.0109899999999998E-4</v>
      </c>
      <c r="I5">
        <v>3.4963099999999999E-4</v>
      </c>
    </row>
    <row r="6" spans="1:9" x14ac:dyDescent="0.4">
      <c r="A6">
        <f>A5+5</f>
        <v>10</v>
      </c>
      <c r="B6">
        <v>5</v>
      </c>
      <c r="C6" t="s">
        <v>8</v>
      </c>
      <c r="D6" s="1">
        <v>9.6500000000000001E-5</v>
      </c>
      <c r="E6">
        <v>1.15011E-4</v>
      </c>
      <c r="F6" s="1">
        <v>7.6899999999999999E-5</v>
      </c>
      <c r="G6">
        <v>4.82406E-4</v>
      </c>
      <c r="H6">
        <v>5.7489100000000001E-4</v>
      </c>
      <c r="I6">
        <v>3.8431199999999999E-4</v>
      </c>
    </row>
    <row r="7" spans="1:9" x14ac:dyDescent="0.4">
      <c r="A7">
        <f t="shared" ref="A7:A21" si="0">A6+5</f>
        <v>15</v>
      </c>
      <c r="B7">
        <v>5</v>
      </c>
      <c r="C7" t="s">
        <v>9</v>
      </c>
      <c r="D7">
        <v>1.7698400000000001E-4</v>
      </c>
      <c r="E7">
        <v>2.4807099999999999E-4</v>
      </c>
      <c r="F7">
        <v>1.00906E-4</v>
      </c>
      <c r="G7">
        <v>8.84529E-4</v>
      </c>
      <c r="H7">
        <v>1.2395869999999999E-3</v>
      </c>
      <c r="I7">
        <v>5.0440299999999995E-4</v>
      </c>
    </row>
    <row r="8" spans="1:9" x14ac:dyDescent="0.4">
      <c r="A8">
        <f t="shared" si="0"/>
        <v>20</v>
      </c>
      <c r="B8">
        <v>5</v>
      </c>
      <c r="C8" t="s">
        <v>10</v>
      </c>
      <c r="D8">
        <v>2.6191099999999998E-4</v>
      </c>
      <c r="E8">
        <v>3.59093E-4</v>
      </c>
      <c r="F8">
        <v>1.57128E-4</v>
      </c>
      <c r="G8">
        <v>1.3086969999999999E-3</v>
      </c>
      <c r="H8">
        <v>1.7938540000000001E-3</v>
      </c>
      <c r="I8">
        <v>7.8533100000000001E-4</v>
      </c>
    </row>
    <row r="9" spans="1:9" x14ac:dyDescent="0.4">
      <c r="A9">
        <f t="shared" si="0"/>
        <v>25</v>
      </c>
      <c r="B9">
        <v>5</v>
      </c>
      <c r="C9" t="s">
        <v>11</v>
      </c>
      <c r="D9">
        <v>2.8153800000000001E-4</v>
      </c>
      <c r="E9">
        <v>3.7891999999999998E-4</v>
      </c>
      <c r="F9">
        <v>1.7902900000000001E-4</v>
      </c>
      <c r="G9">
        <v>1.406699E-3</v>
      </c>
      <c r="H9">
        <v>1.892807E-3</v>
      </c>
      <c r="I9">
        <v>8.9474499999999996E-4</v>
      </c>
    </row>
    <row r="10" spans="1:9" x14ac:dyDescent="0.4">
      <c r="A10">
        <f t="shared" si="0"/>
        <v>30</v>
      </c>
      <c r="B10">
        <v>5</v>
      </c>
      <c r="C10" t="s">
        <v>12</v>
      </c>
      <c r="D10">
        <v>3.3871599999999997E-4</v>
      </c>
      <c r="E10">
        <v>4.5532400000000001E-4</v>
      </c>
      <c r="F10">
        <v>2.1978199999999999E-4</v>
      </c>
      <c r="G10">
        <v>1.6921460000000001E-3</v>
      </c>
      <c r="H10">
        <v>2.2740299999999998E-3</v>
      </c>
      <c r="I10">
        <v>1.0983049999999999E-3</v>
      </c>
    </row>
    <row r="11" spans="1:9" x14ac:dyDescent="0.4">
      <c r="A11">
        <f t="shared" si="0"/>
        <v>35</v>
      </c>
      <c r="B11">
        <v>5</v>
      </c>
      <c r="C11" t="s">
        <v>13</v>
      </c>
      <c r="D11">
        <v>5.2379499999999997E-4</v>
      </c>
      <c r="E11">
        <v>6.3677500000000001E-4</v>
      </c>
      <c r="F11">
        <v>4.1010599999999998E-4</v>
      </c>
      <c r="G11">
        <v>2.6155520000000002E-3</v>
      </c>
      <c r="H11">
        <v>3.178812E-3</v>
      </c>
      <c r="I11">
        <v>2.0484269999999998E-3</v>
      </c>
    </row>
    <row r="12" spans="1:9" x14ac:dyDescent="0.4">
      <c r="A12">
        <f t="shared" si="0"/>
        <v>40</v>
      </c>
      <c r="B12">
        <v>5</v>
      </c>
      <c r="C12" t="s">
        <v>14</v>
      </c>
      <c r="D12">
        <v>8.3809900000000003E-4</v>
      </c>
      <c r="E12">
        <v>1.044856E-3</v>
      </c>
      <c r="F12">
        <v>6.3218900000000001E-4</v>
      </c>
      <c r="G12">
        <v>4.1817319999999996E-3</v>
      </c>
      <c r="H12">
        <v>5.2106690000000002E-3</v>
      </c>
      <c r="I12">
        <v>3.155957E-3</v>
      </c>
    </row>
    <row r="13" spans="1:9" x14ac:dyDescent="0.4">
      <c r="A13">
        <f t="shared" si="0"/>
        <v>45</v>
      </c>
      <c r="B13">
        <v>5</v>
      </c>
      <c r="C13" t="s">
        <v>15</v>
      </c>
      <c r="D13">
        <v>1.3906809999999999E-3</v>
      </c>
      <c r="E13">
        <v>1.7147810000000001E-3</v>
      </c>
      <c r="F13">
        <v>1.0714120000000001E-3</v>
      </c>
      <c r="G13">
        <v>6.9293139999999998E-3</v>
      </c>
      <c r="H13">
        <v>8.5373050000000002E-3</v>
      </c>
      <c r="I13">
        <v>5.3427500000000003E-3</v>
      </c>
    </row>
    <row r="14" spans="1:9" x14ac:dyDescent="0.4">
      <c r="A14">
        <f t="shared" si="0"/>
        <v>50</v>
      </c>
      <c r="B14">
        <v>5</v>
      </c>
      <c r="C14" t="s">
        <v>16</v>
      </c>
      <c r="D14">
        <v>2.3341569999999999E-3</v>
      </c>
      <c r="E14">
        <v>2.925754E-3</v>
      </c>
      <c r="F14">
        <v>1.7601680000000001E-3</v>
      </c>
      <c r="G14">
        <v>1.1603074E-2</v>
      </c>
      <c r="H14">
        <v>1.4522548E-2</v>
      </c>
      <c r="I14">
        <v>8.7622829999999992E-3</v>
      </c>
    </row>
    <row r="15" spans="1:9" x14ac:dyDescent="0.4">
      <c r="A15">
        <f t="shared" si="0"/>
        <v>55</v>
      </c>
      <c r="B15">
        <v>5</v>
      </c>
      <c r="C15" t="s">
        <v>17</v>
      </c>
      <c r="D15">
        <v>3.7658050000000001E-3</v>
      </c>
      <c r="E15">
        <v>4.8043269999999997E-3</v>
      </c>
      <c r="F15">
        <v>2.7782649999999998E-3</v>
      </c>
      <c r="G15">
        <v>1.8653412000000001E-2</v>
      </c>
      <c r="H15">
        <v>2.3736541E-2</v>
      </c>
      <c r="I15">
        <v>1.3795505E-2</v>
      </c>
    </row>
    <row r="16" spans="1:9" x14ac:dyDescent="0.4">
      <c r="A16">
        <f t="shared" si="0"/>
        <v>60</v>
      </c>
      <c r="B16">
        <v>5</v>
      </c>
      <c r="C16" t="s">
        <v>18</v>
      </c>
      <c r="D16">
        <v>5.9915919999999996E-3</v>
      </c>
      <c r="E16">
        <v>7.8179419999999996E-3</v>
      </c>
      <c r="F16">
        <v>4.300473E-3</v>
      </c>
      <c r="G16">
        <v>2.9515843E-2</v>
      </c>
      <c r="H16">
        <v>3.8340351000000002E-2</v>
      </c>
      <c r="I16">
        <v>2.1273646E-2</v>
      </c>
    </row>
    <row r="17" spans="1:11" x14ac:dyDescent="0.4">
      <c r="A17">
        <f t="shared" si="0"/>
        <v>65</v>
      </c>
      <c r="B17">
        <v>5</v>
      </c>
      <c r="C17" t="s">
        <v>19</v>
      </c>
      <c r="D17">
        <v>9.6557489999999999E-3</v>
      </c>
      <c r="E17">
        <v>1.2675512999999999E-2</v>
      </c>
      <c r="F17">
        <v>6.916892E-3</v>
      </c>
      <c r="G17">
        <v>4.7140794999999999E-2</v>
      </c>
      <c r="H17">
        <v>6.1430895999999999E-2</v>
      </c>
      <c r="I17">
        <v>3.3996582999999997E-2</v>
      </c>
    </row>
    <row r="18" spans="1:11" x14ac:dyDescent="0.4">
      <c r="A18">
        <f t="shared" si="0"/>
        <v>70</v>
      </c>
      <c r="B18">
        <v>5</v>
      </c>
      <c r="C18" t="s">
        <v>20</v>
      </c>
      <c r="D18">
        <v>1.6014425999999998E-2</v>
      </c>
      <c r="E18">
        <v>2.1030259999999999E-2</v>
      </c>
      <c r="F18">
        <v>1.16144E-2</v>
      </c>
      <c r="G18">
        <v>7.6989765000000002E-2</v>
      </c>
      <c r="H18">
        <v>9.9899041999999993E-2</v>
      </c>
      <c r="I18">
        <v>5.6433402000000001E-2</v>
      </c>
    </row>
    <row r="19" spans="1:11" x14ac:dyDescent="0.4">
      <c r="A19">
        <f t="shared" si="0"/>
        <v>75</v>
      </c>
      <c r="B19">
        <v>5</v>
      </c>
      <c r="C19" t="s">
        <v>21</v>
      </c>
      <c r="D19">
        <v>2.6024124999999999E-2</v>
      </c>
      <c r="E19">
        <v>3.3743975000000002E-2</v>
      </c>
      <c r="F19">
        <v>1.9814179000000001E-2</v>
      </c>
      <c r="G19">
        <v>0.12217207400000001</v>
      </c>
      <c r="H19">
        <v>0.15559397799999999</v>
      </c>
      <c r="I19">
        <v>9.4394998999999993E-2</v>
      </c>
    </row>
    <row r="20" spans="1:11" x14ac:dyDescent="0.4">
      <c r="A20">
        <f t="shared" si="0"/>
        <v>80</v>
      </c>
      <c r="B20">
        <v>5</v>
      </c>
      <c r="C20" t="s">
        <v>22</v>
      </c>
      <c r="D20">
        <v>5.1138744E-2</v>
      </c>
      <c r="E20">
        <v>6.3905376999999999E-2</v>
      </c>
      <c r="F20">
        <v>4.2108024000000001E-2</v>
      </c>
      <c r="G20">
        <v>0.22670960800000001</v>
      </c>
      <c r="H20">
        <v>0.27551039500000002</v>
      </c>
      <c r="I20">
        <v>0.19048749100000001</v>
      </c>
    </row>
    <row r="21" spans="1:11" x14ac:dyDescent="0.4">
      <c r="A21">
        <f t="shared" si="0"/>
        <v>85</v>
      </c>
      <c r="B21" t="s">
        <v>39</v>
      </c>
      <c r="C21" t="s">
        <v>23</v>
      </c>
      <c r="D21">
        <v>0.14169629</v>
      </c>
      <c r="E21">
        <v>0.16169430000000001</v>
      </c>
      <c r="F21">
        <v>0.13193554900000001</v>
      </c>
      <c r="G21">
        <v>1</v>
      </c>
      <c r="H21">
        <v>1</v>
      </c>
      <c r="I21">
        <v>1</v>
      </c>
    </row>
    <row r="25" spans="1:11" x14ac:dyDescent="0.4">
      <c r="A25" t="s">
        <v>1</v>
      </c>
      <c r="B25" t="s">
        <v>37</v>
      </c>
      <c r="C25" t="s">
        <v>38</v>
      </c>
      <c r="D25" s="2" t="s">
        <v>40</v>
      </c>
      <c r="E25" s="2" t="s">
        <v>41</v>
      </c>
      <c r="F25" s="2" t="s">
        <v>44</v>
      </c>
      <c r="G25" s="2" t="s">
        <v>45</v>
      </c>
      <c r="H25" s="2" t="s">
        <v>46</v>
      </c>
      <c r="I25" s="2" t="s">
        <v>47</v>
      </c>
      <c r="J25" s="2" t="s">
        <v>48</v>
      </c>
      <c r="K25" s="2" t="s">
        <v>49</v>
      </c>
    </row>
    <row r="26" spans="1:11" x14ac:dyDescent="0.4">
      <c r="A26" t="s">
        <v>5</v>
      </c>
      <c r="B26">
        <v>0</v>
      </c>
      <c r="C26">
        <v>1</v>
      </c>
      <c r="G26" s="7"/>
      <c r="H26" s="7"/>
    </row>
    <row r="27" spans="1:11" x14ac:dyDescent="0.4">
      <c r="A27" t="s">
        <v>6</v>
      </c>
      <c r="B27">
        <v>1</v>
      </c>
      <c r="C27">
        <v>4</v>
      </c>
      <c r="G27" s="7"/>
      <c r="H27" s="7"/>
    </row>
    <row r="28" spans="1:11" x14ac:dyDescent="0.4">
      <c r="A28" t="s">
        <v>7</v>
      </c>
      <c r="B28">
        <v>5</v>
      </c>
      <c r="C28">
        <v>5</v>
      </c>
      <c r="G28" s="7"/>
      <c r="H28" s="7"/>
    </row>
    <row r="29" spans="1:11" x14ac:dyDescent="0.4">
      <c r="A29" t="s">
        <v>8</v>
      </c>
      <c r="B29">
        <f>B28+5</f>
        <v>10</v>
      </c>
      <c r="C29">
        <v>5</v>
      </c>
      <c r="G29" s="7"/>
      <c r="H29" s="7"/>
    </row>
    <row r="30" spans="1:11" x14ac:dyDescent="0.4">
      <c r="A30" t="s">
        <v>9</v>
      </c>
      <c r="B30">
        <f t="shared" ref="B30:B44" si="1">B29+5</f>
        <v>15</v>
      </c>
      <c r="C30">
        <v>5</v>
      </c>
      <c r="G30" s="7"/>
      <c r="H30" s="7"/>
    </row>
    <row r="31" spans="1:11" x14ac:dyDescent="0.4">
      <c r="A31" t="s">
        <v>10</v>
      </c>
      <c r="B31">
        <f t="shared" si="1"/>
        <v>20</v>
      </c>
      <c r="C31">
        <v>5</v>
      </c>
      <c r="G31" s="7"/>
      <c r="H31" s="7"/>
    </row>
    <row r="32" spans="1:11" x14ac:dyDescent="0.4">
      <c r="A32" t="s">
        <v>11</v>
      </c>
      <c r="B32">
        <f t="shared" si="1"/>
        <v>25</v>
      </c>
      <c r="C32">
        <v>5</v>
      </c>
      <c r="G32" s="7"/>
      <c r="H32" s="7"/>
    </row>
    <row r="33" spans="1:8" x14ac:dyDescent="0.4">
      <c r="A33" t="s">
        <v>12</v>
      </c>
      <c r="B33">
        <f t="shared" si="1"/>
        <v>30</v>
      </c>
      <c r="C33">
        <v>5</v>
      </c>
      <c r="G33" s="7"/>
      <c r="H33" s="7"/>
    </row>
    <row r="34" spans="1:8" x14ac:dyDescent="0.4">
      <c r="A34" t="s">
        <v>13</v>
      </c>
      <c r="B34">
        <f t="shared" si="1"/>
        <v>35</v>
      </c>
      <c r="C34">
        <v>5</v>
      </c>
      <c r="G34" s="7"/>
      <c r="H34" s="7"/>
    </row>
    <row r="35" spans="1:8" x14ac:dyDescent="0.4">
      <c r="A35" t="s">
        <v>14</v>
      </c>
      <c r="B35">
        <f t="shared" si="1"/>
        <v>40</v>
      </c>
      <c r="C35">
        <v>5</v>
      </c>
      <c r="G35" s="7"/>
      <c r="H35" s="7"/>
    </row>
    <row r="36" spans="1:8" x14ac:dyDescent="0.4">
      <c r="A36" t="s">
        <v>15</v>
      </c>
      <c r="B36">
        <f t="shared" si="1"/>
        <v>45</v>
      </c>
      <c r="C36">
        <v>5</v>
      </c>
      <c r="G36" s="7"/>
      <c r="H36" s="7"/>
    </row>
    <row r="37" spans="1:8" x14ac:dyDescent="0.4">
      <c r="A37" t="s">
        <v>16</v>
      </c>
      <c r="B37">
        <f t="shared" si="1"/>
        <v>50</v>
      </c>
      <c r="C37">
        <v>5</v>
      </c>
      <c r="G37" s="7"/>
      <c r="H37" s="7"/>
    </row>
    <row r="38" spans="1:8" x14ac:dyDescent="0.4">
      <c r="A38" t="s">
        <v>17</v>
      </c>
      <c r="B38">
        <f t="shared" si="1"/>
        <v>55</v>
      </c>
      <c r="C38">
        <v>5</v>
      </c>
      <c r="G38" s="7"/>
      <c r="H38" s="7"/>
    </row>
    <row r="39" spans="1:8" x14ac:dyDescent="0.4">
      <c r="A39" t="s">
        <v>18</v>
      </c>
      <c r="B39">
        <f t="shared" si="1"/>
        <v>60</v>
      </c>
      <c r="C39">
        <v>5</v>
      </c>
      <c r="G39" s="7"/>
      <c r="H39" s="7"/>
    </row>
    <row r="40" spans="1:8" x14ac:dyDescent="0.4">
      <c r="A40" t="s">
        <v>19</v>
      </c>
      <c r="B40">
        <f t="shared" si="1"/>
        <v>65</v>
      </c>
      <c r="C40">
        <v>5</v>
      </c>
      <c r="G40" s="7"/>
      <c r="H40" s="7"/>
    </row>
    <row r="41" spans="1:8" x14ac:dyDescent="0.4">
      <c r="A41" t="s">
        <v>20</v>
      </c>
      <c r="B41">
        <f t="shared" si="1"/>
        <v>70</v>
      </c>
      <c r="C41">
        <v>5</v>
      </c>
      <c r="G41" s="7"/>
      <c r="H41" s="7"/>
    </row>
    <row r="42" spans="1:8" x14ac:dyDescent="0.4">
      <c r="A42" t="s">
        <v>21</v>
      </c>
      <c r="B42">
        <f t="shared" si="1"/>
        <v>75</v>
      </c>
      <c r="C42">
        <v>5</v>
      </c>
      <c r="G42" s="7"/>
      <c r="H42" s="7"/>
    </row>
    <row r="43" spans="1:8" x14ac:dyDescent="0.4">
      <c r="A43" t="s">
        <v>22</v>
      </c>
      <c r="B43">
        <f t="shared" si="1"/>
        <v>80</v>
      </c>
      <c r="C43">
        <v>5</v>
      </c>
      <c r="G43" s="7"/>
      <c r="H43" s="7"/>
    </row>
    <row r="44" spans="1:8" x14ac:dyDescent="0.4">
      <c r="A44" t="s">
        <v>23</v>
      </c>
      <c r="B44">
        <f t="shared" si="1"/>
        <v>85</v>
      </c>
      <c r="C44" t="s">
        <v>39</v>
      </c>
      <c r="G44" s="7"/>
      <c r="H44" s="7"/>
    </row>
  </sheetData>
  <mergeCells count="2"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India</vt:lpstr>
      <vt:lpstr>Afghanistan</vt:lpstr>
      <vt:lpstr>Bangladesh</vt:lpstr>
      <vt:lpstr>Cuba</vt:lpstr>
      <vt:lpstr>USA</vt:lpstr>
      <vt:lpstr>Japan</vt:lpstr>
      <vt:lpstr>Germany</vt:lpstr>
      <vt:lpstr>SouthAfrica</vt:lpstr>
      <vt:lpstr>Chile</vt:lpstr>
      <vt:lpstr>Uganda</vt:lpstr>
      <vt:lpstr>Brazil</vt:lpstr>
      <vt:lpstr>Italy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2023-02-04T10:31:05Z</dcterms:created>
  <dcterms:modified xsi:type="dcterms:W3CDTF">2023-02-09T06:50:14Z</dcterms:modified>
</cp:coreProperties>
</file>