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UG2_PUBP233\LifeTableDataSet\"/>
    </mc:Choice>
  </mc:AlternateContent>
  <xr:revisionPtr revIDLastSave="0" documentId="13_ncr:1_{634ED81F-50F2-4CD8-B837-CF4E7B177B73}" xr6:coauthVersionLast="47" xr6:coauthVersionMax="47" xr10:uidLastSave="{00000000-0000-0000-0000-000000000000}"/>
  <bookViews>
    <workbookView xWindow="-103" yWindow="-103" windowWidth="22149" windowHeight="13200" activeTab="2" xr2:uid="{A5378235-3A9B-4A67-B0B7-AD1E75AA96B6}"/>
  </bookViews>
  <sheets>
    <sheet name="Afghanistan" sheetId="1" r:id="rId1"/>
    <sheet name="Bangladesh" sheetId="2" r:id="rId2"/>
    <sheet name="India" sheetId="6" r:id="rId3"/>
    <sheet name="Cuba" sheetId="3" r:id="rId4"/>
    <sheet name="USA" sheetId="4" r:id="rId5"/>
    <sheet name="Japan" sheetId="5" r:id="rId6"/>
    <sheet name="Germany" sheetId="7" r:id="rId7"/>
    <sheet name="SouthAfrica" sheetId="8" r:id="rId8"/>
    <sheet name="Chile" sheetId="10" r:id="rId9"/>
    <sheet name="Uganda" sheetId="9" r:id="rId10"/>
    <sheet name="Brazil" sheetId="11" r:id="rId11"/>
    <sheet name="Italy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4" i="6" l="1"/>
  <c r="F45" i="5"/>
  <c r="E44" i="5"/>
  <c r="F44" i="5" s="1"/>
  <c r="E43" i="5"/>
  <c r="F43" i="5" s="1"/>
  <c r="E42" i="5"/>
  <c r="F42" i="5" s="1"/>
  <c r="E41" i="5"/>
  <c r="F41" i="5" s="1"/>
  <c r="E40" i="5"/>
  <c r="F40" i="5" s="1"/>
  <c r="E39" i="5"/>
  <c r="F39" i="5" s="1"/>
  <c r="E38" i="5"/>
  <c r="F38" i="5" s="1"/>
  <c r="E37" i="5"/>
  <c r="F37" i="5" s="1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B30" i="5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E29" i="5"/>
  <c r="F29" i="5" s="1"/>
  <c r="E28" i="5"/>
  <c r="F28" i="5" s="1"/>
  <c r="F27" i="5"/>
  <c r="G28" i="5" s="1"/>
  <c r="E27" i="5"/>
  <c r="F87" i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B72" i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E71" i="1"/>
  <c r="F71" i="1" s="1"/>
  <c r="E70" i="1"/>
  <c r="F70" i="1" s="1"/>
  <c r="E69" i="1"/>
  <c r="F69" i="1" s="1"/>
  <c r="G70" i="1" s="1"/>
  <c r="F65" i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B50" i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E49" i="1"/>
  <c r="F49" i="1" s="1"/>
  <c r="E48" i="1"/>
  <c r="F48" i="1" s="1"/>
  <c r="E47" i="1"/>
  <c r="F47" i="1" s="1"/>
  <c r="G48" i="1" s="1"/>
  <c r="K26" i="1"/>
  <c r="K27" i="1"/>
  <c r="AD44" i="6"/>
  <c r="AC43" i="6"/>
  <c r="AD43" i="6" s="1"/>
  <c r="AC42" i="6"/>
  <c r="AD42" i="6" s="1"/>
  <c r="AC41" i="6"/>
  <c r="AD41" i="6" s="1"/>
  <c r="AC40" i="6"/>
  <c r="AD40" i="6" s="1"/>
  <c r="AC39" i="6"/>
  <c r="AD39" i="6" s="1"/>
  <c r="AC38" i="6"/>
  <c r="AD38" i="6" s="1"/>
  <c r="AC37" i="6"/>
  <c r="AD37" i="6" s="1"/>
  <c r="AC36" i="6"/>
  <c r="AD36" i="6" s="1"/>
  <c r="AC35" i="6"/>
  <c r="AD35" i="6" s="1"/>
  <c r="AC34" i="6"/>
  <c r="AD34" i="6" s="1"/>
  <c r="AC33" i="6"/>
  <c r="AD33" i="6" s="1"/>
  <c r="AC32" i="6"/>
  <c r="AD32" i="6" s="1"/>
  <c r="AC31" i="6"/>
  <c r="AD31" i="6" s="1"/>
  <c r="AC30" i="6"/>
  <c r="AD30" i="6" s="1"/>
  <c r="AC29" i="6"/>
  <c r="AD29" i="6" s="1"/>
  <c r="Z29" i="6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AC28" i="6"/>
  <c r="AD28" i="6" s="1"/>
  <c r="AC27" i="6"/>
  <c r="AD27" i="6" s="1"/>
  <c r="AC26" i="6"/>
  <c r="AD26" i="6" s="1"/>
  <c r="AE27" i="6" s="1"/>
  <c r="R44" i="6"/>
  <c r="Q43" i="6"/>
  <c r="R43" i="6" s="1"/>
  <c r="Q42" i="6"/>
  <c r="R42" i="6" s="1"/>
  <c r="Q41" i="6"/>
  <c r="R41" i="6" s="1"/>
  <c r="Q40" i="6"/>
  <c r="R40" i="6" s="1"/>
  <c r="Q39" i="6"/>
  <c r="R39" i="6" s="1"/>
  <c r="Q38" i="6"/>
  <c r="R38" i="6" s="1"/>
  <c r="Q37" i="6"/>
  <c r="R37" i="6" s="1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N29" i="6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Q28" i="6"/>
  <c r="R28" i="6" s="1"/>
  <c r="Q27" i="6"/>
  <c r="R27" i="6" s="1"/>
  <c r="Q26" i="6"/>
  <c r="R26" i="6" s="1"/>
  <c r="S27" i="6" s="1"/>
  <c r="F43" i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E28" i="1"/>
  <c r="F28" i="1" s="1"/>
  <c r="B28" i="1"/>
  <c r="E27" i="1"/>
  <c r="F27" i="1" s="1"/>
  <c r="E26" i="1"/>
  <c r="F26" i="1" s="1"/>
  <c r="E25" i="1"/>
  <c r="F25" i="1" s="1"/>
  <c r="G26" i="1" s="1"/>
  <c r="H27" i="5" l="1"/>
  <c r="G29" i="5"/>
  <c r="I27" i="5"/>
  <c r="I70" i="1"/>
  <c r="I69" i="1"/>
  <c r="G71" i="1"/>
  <c r="H69" i="1"/>
  <c r="H70" i="1"/>
  <c r="I48" i="1"/>
  <c r="H47" i="1"/>
  <c r="G49" i="1"/>
  <c r="I47" i="1"/>
  <c r="AF26" i="6"/>
  <c r="AG26" i="6"/>
  <c r="AE28" i="6"/>
  <c r="T26" i="6"/>
  <c r="S28" i="6"/>
  <c r="U26" i="6"/>
  <c r="G27" i="1"/>
  <c r="H25" i="1"/>
  <c r="H26" i="1"/>
  <c r="I25" i="1"/>
  <c r="G30" i="5" l="1"/>
  <c r="I29" i="5" s="1"/>
  <c r="H28" i="5"/>
  <c r="I28" i="5"/>
  <c r="G72" i="1"/>
  <c r="H71" i="1" s="1"/>
  <c r="G50" i="1"/>
  <c r="H48" i="1"/>
  <c r="AE29" i="6"/>
  <c r="AF27" i="6"/>
  <c r="AG27" i="6"/>
  <c r="S29" i="6"/>
  <c r="T27" i="6"/>
  <c r="U27" i="6"/>
  <c r="G28" i="1"/>
  <c r="I27" i="1" s="1"/>
  <c r="I26" i="1"/>
  <c r="G31" i="5" l="1"/>
  <c r="H29" i="5"/>
  <c r="H72" i="1"/>
  <c r="I72" i="1"/>
  <c r="G73" i="1"/>
  <c r="I71" i="1"/>
  <c r="G51" i="1"/>
  <c r="I49" i="1"/>
  <c r="H49" i="1"/>
  <c r="AE30" i="6"/>
  <c r="AF29" i="6" s="1"/>
  <c r="AF28" i="6"/>
  <c r="AG28" i="6"/>
  <c r="S30" i="6"/>
  <c r="T28" i="6"/>
  <c r="U28" i="6"/>
  <c r="H27" i="1"/>
  <c r="G29" i="1"/>
  <c r="H28" i="1" s="1"/>
  <c r="G32" i="5" l="1"/>
  <c r="I31" i="5" s="1"/>
  <c r="H30" i="5"/>
  <c r="I30" i="5"/>
  <c r="G74" i="1"/>
  <c r="G52" i="1"/>
  <c r="H50" i="1"/>
  <c r="I50" i="1"/>
  <c r="AE31" i="6"/>
  <c r="AG29" i="6"/>
  <c r="S31" i="6"/>
  <c r="U29" i="6"/>
  <c r="T29" i="6"/>
  <c r="G30" i="1"/>
  <c r="H29" i="1" s="1"/>
  <c r="I28" i="1"/>
  <c r="H31" i="5" l="1"/>
  <c r="G33" i="5"/>
  <c r="H32" i="5" s="1"/>
  <c r="G75" i="1"/>
  <c r="I74" i="1" s="1"/>
  <c r="I73" i="1"/>
  <c r="H73" i="1"/>
  <c r="I52" i="1"/>
  <c r="G53" i="1"/>
  <c r="H51" i="1"/>
  <c r="I51" i="1"/>
  <c r="AE32" i="6"/>
  <c r="AF31" i="6" s="1"/>
  <c r="AF30" i="6"/>
  <c r="AG30" i="6"/>
  <c r="S32" i="6"/>
  <c r="T30" i="6"/>
  <c r="U30" i="6"/>
  <c r="I29" i="1"/>
  <c r="G31" i="1"/>
  <c r="I30" i="1" s="1"/>
  <c r="G34" i="5" l="1"/>
  <c r="I33" i="5" s="1"/>
  <c r="I32" i="5"/>
  <c r="H74" i="1"/>
  <c r="I75" i="1"/>
  <c r="G76" i="1"/>
  <c r="H75" i="1" s="1"/>
  <c r="G54" i="1"/>
  <c r="H52" i="1"/>
  <c r="AE33" i="6"/>
  <c r="AF32" i="6" s="1"/>
  <c r="AG31" i="6"/>
  <c r="S33" i="6"/>
  <c r="T31" i="6"/>
  <c r="U31" i="6"/>
  <c r="G32" i="1"/>
  <c r="H31" i="1"/>
  <c r="H30" i="1"/>
  <c r="H33" i="5" l="1"/>
  <c r="G35" i="5"/>
  <c r="I34" i="5" s="1"/>
  <c r="G77" i="1"/>
  <c r="I76" i="1"/>
  <c r="I54" i="1"/>
  <c r="G55" i="1"/>
  <c r="H54" i="1" s="1"/>
  <c r="H53" i="1"/>
  <c r="I53" i="1"/>
  <c r="AE34" i="6"/>
  <c r="AG32" i="6"/>
  <c r="S34" i="6"/>
  <c r="T32" i="6"/>
  <c r="U32" i="6"/>
  <c r="G33" i="1"/>
  <c r="I32" i="1" s="1"/>
  <c r="I31" i="1"/>
  <c r="G36" i="5" l="1"/>
  <c r="H35" i="5" s="1"/>
  <c r="H34" i="5"/>
  <c r="G78" i="1"/>
  <c r="H77" i="1" s="1"/>
  <c r="H76" i="1"/>
  <c r="G56" i="1"/>
  <c r="AE35" i="6"/>
  <c r="AF33" i="6"/>
  <c r="AG33" i="6"/>
  <c r="S35" i="6"/>
  <c r="T33" i="6"/>
  <c r="U33" i="6"/>
  <c r="H32" i="1"/>
  <c r="G34" i="1"/>
  <c r="I36" i="5" l="1"/>
  <c r="H36" i="5"/>
  <c r="G37" i="5"/>
  <c r="I35" i="5"/>
  <c r="G79" i="1"/>
  <c r="I78" i="1" s="1"/>
  <c r="I77" i="1"/>
  <c r="G57" i="1"/>
  <c r="H56" i="1" s="1"/>
  <c r="H55" i="1"/>
  <c r="I55" i="1"/>
  <c r="AE36" i="6"/>
  <c r="AF34" i="6"/>
  <c r="AG34" i="6"/>
  <c r="S36" i="6"/>
  <c r="T34" i="6"/>
  <c r="U34" i="6"/>
  <c r="G35" i="1"/>
  <c r="H34" i="1" s="1"/>
  <c r="I34" i="1"/>
  <c r="H33" i="1"/>
  <c r="I33" i="1"/>
  <c r="G38" i="5" l="1"/>
  <c r="G80" i="1"/>
  <c r="I79" i="1" s="1"/>
  <c r="H78" i="1"/>
  <c r="G58" i="1"/>
  <c r="I56" i="1"/>
  <c r="AE37" i="6"/>
  <c r="AF35" i="6"/>
  <c r="AG35" i="6"/>
  <c r="S37" i="6"/>
  <c r="T35" i="6"/>
  <c r="U35" i="6"/>
  <c r="G36" i="1"/>
  <c r="I35" i="1" s="1"/>
  <c r="G39" i="5" l="1"/>
  <c r="H37" i="5"/>
  <c r="I37" i="5"/>
  <c r="H79" i="1"/>
  <c r="G81" i="1"/>
  <c r="I80" i="1" s="1"/>
  <c r="G59" i="1"/>
  <c r="H57" i="1"/>
  <c r="I57" i="1"/>
  <c r="AE38" i="6"/>
  <c r="AG36" i="6"/>
  <c r="AF36" i="6"/>
  <c r="S38" i="6"/>
  <c r="T37" i="6" s="1"/>
  <c r="T36" i="6"/>
  <c r="U36" i="6"/>
  <c r="G37" i="1"/>
  <c r="I36" i="1" s="1"/>
  <c r="H35" i="1"/>
  <c r="G40" i="5" l="1"/>
  <c r="H38" i="5"/>
  <c r="I38" i="5"/>
  <c r="G82" i="1"/>
  <c r="H80" i="1"/>
  <c r="G60" i="1"/>
  <c r="I59" i="1" s="1"/>
  <c r="H58" i="1"/>
  <c r="I58" i="1"/>
  <c r="AE39" i="6"/>
  <c r="AF37" i="6"/>
  <c r="AG37" i="6"/>
  <c r="S39" i="6"/>
  <c r="U37" i="6"/>
  <c r="H36" i="1"/>
  <c r="G38" i="1"/>
  <c r="H37" i="1" s="1"/>
  <c r="I40" i="5" l="1"/>
  <c r="G41" i="5"/>
  <c r="H40" i="5" s="1"/>
  <c r="H39" i="5"/>
  <c r="I39" i="5"/>
  <c r="G83" i="1"/>
  <c r="H81" i="1"/>
  <c r="I81" i="1"/>
  <c r="H59" i="1"/>
  <c r="G61" i="1"/>
  <c r="I60" i="1" s="1"/>
  <c r="AE40" i="6"/>
  <c r="AF38" i="6"/>
  <c r="AG38" i="6"/>
  <c r="S40" i="6"/>
  <c r="U38" i="6"/>
  <c r="T38" i="6"/>
  <c r="I37" i="1"/>
  <c r="G39" i="1"/>
  <c r="G42" i="5" l="1"/>
  <c r="I41" i="5" s="1"/>
  <c r="G84" i="1"/>
  <c r="I83" i="1" s="1"/>
  <c r="I82" i="1"/>
  <c r="H82" i="1"/>
  <c r="G62" i="1"/>
  <c r="I61" i="1" s="1"/>
  <c r="H60" i="1"/>
  <c r="AE41" i="6"/>
  <c r="AF39" i="6"/>
  <c r="AG39" i="6"/>
  <c r="S41" i="6"/>
  <c r="T39" i="6"/>
  <c r="U39" i="6"/>
  <c r="G40" i="1"/>
  <c r="H38" i="1"/>
  <c r="I38" i="1"/>
  <c r="G43" i="5" l="1"/>
  <c r="H41" i="5"/>
  <c r="G85" i="1"/>
  <c r="H84" i="1" s="1"/>
  <c r="H83" i="1"/>
  <c r="H61" i="1"/>
  <c r="G63" i="1"/>
  <c r="I62" i="1" s="1"/>
  <c r="AE42" i="6"/>
  <c r="AF41" i="6" s="1"/>
  <c r="AF40" i="6"/>
  <c r="AG40" i="6"/>
  <c r="S42" i="6"/>
  <c r="T40" i="6"/>
  <c r="U40" i="6"/>
  <c r="G41" i="1"/>
  <c r="I40" i="1"/>
  <c r="H40" i="1"/>
  <c r="H39" i="1"/>
  <c r="I39" i="1"/>
  <c r="G44" i="5" l="1"/>
  <c r="I43" i="5" s="1"/>
  <c r="H42" i="5"/>
  <c r="I42" i="5"/>
  <c r="I84" i="1"/>
  <c r="G86" i="1"/>
  <c r="I85" i="1" s="1"/>
  <c r="H62" i="1"/>
  <c r="G64" i="1"/>
  <c r="AE43" i="6"/>
  <c r="AG42" i="6" s="1"/>
  <c r="AG41" i="6"/>
  <c r="S43" i="6"/>
  <c r="T42" i="6" s="1"/>
  <c r="U41" i="6"/>
  <c r="T41" i="6"/>
  <c r="G42" i="1"/>
  <c r="I41" i="1" s="1"/>
  <c r="H43" i="5" l="1"/>
  <c r="I44" i="5"/>
  <c r="G45" i="5"/>
  <c r="H44" i="5" s="1"/>
  <c r="G87" i="1"/>
  <c r="H86" i="1" s="1"/>
  <c r="H85" i="1"/>
  <c r="G65" i="1"/>
  <c r="H63" i="1"/>
  <c r="I63" i="1"/>
  <c r="AE44" i="6"/>
  <c r="AG43" i="6" s="1"/>
  <c r="AF42" i="6"/>
  <c r="S44" i="6"/>
  <c r="U42" i="6"/>
  <c r="H41" i="1"/>
  <c r="G43" i="1"/>
  <c r="I42" i="1"/>
  <c r="J37" i="5" l="1"/>
  <c r="K37" i="5" s="1"/>
  <c r="J41" i="5"/>
  <c r="K41" i="5" s="1"/>
  <c r="I45" i="5"/>
  <c r="J43" i="5" s="1"/>
  <c r="K43" i="5" s="1"/>
  <c r="H45" i="5"/>
  <c r="J40" i="5"/>
  <c r="K40" i="5" s="1"/>
  <c r="I86" i="1"/>
  <c r="I87" i="1"/>
  <c r="H87" i="1"/>
  <c r="I65" i="1"/>
  <c r="H65" i="1"/>
  <c r="H64" i="1"/>
  <c r="I64" i="1"/>
  <c r="AG44" i="6"/>
  <c r="AH42" i="6" s="1"/>
  <c r="AF44" i="6"/>
  <c r="AF43" i="6"/>
  <c r="U44" i="6"/>
  <c r="U43" i="6"/>
  <c r="V41" i="6" s="1"/>
  <c r="T43" i="6"/>
  <c r="I43" i="1"/>
  <c r="H43" i="1"/>
  <c r="H42" i="1"/>
  <c r="J41" i="1"/>
  <c r="K41" i="1" s="1"/>
  <c r="AH43" i="6" l="1"/>
  <c r="AI41" i="6"/>
  <c r="AH44" i="6"/>
  <c r="AH29" i="6"/>
  <c r="AH28" i="6"/>
  <c r="AI28" i="6" s="1"/>
  <c r="AH27" i="6"/>
  <c r="AI27" i="6" s="1"/>
  <c r="AH30" i="6"/>
  <c r="AH31" i="6"/>
  <c r="AI31" i="6" s="1"/>
  <c r="AH33" i="6"/>
  <c r="AH32" i="6"/>
  <c r="AH34" i="6"/>
  <c r="AH36" i="6"/>
  <c r="AH35" i="6"/>
  <c r="AH38" i="6"/>
  <c r="AH37" i="6"/>
  <c r="AH40" i="6"/>
  <c r="AI40" i="6" s="1"/>
  <c r="AH41" i="6"/>
  <c r="AH39" i="6"/>
  <c r="V44" i="6"/>
  <c r="V27" i="6"/>
  <c r="V28" i="6"/>
  <c r="V29" i="6"/>
  <c r="V30" i="6"/>
  <c r="V31" i="6"/>
  <c r="V32" i="6"/>
  <c r="W32" i="6" s="1"/>
  <c r="V33" i="6"/>
  <c r="V34" i="6"/>
  <c r="V35" i="6"/>
  <c r="V36" i="6"/>
  <c r="V38" i="6"/>
  <c r="W38" i="6" s="1"/>
  <c r="V37" i="6"/>
  <c r="V39" i="6"/>
  <c r="W39" i="6" s="1"/>
  <c r="V43" i="6"/>
  <c r="W43" i="6" s="1"/>
  <c r="V40" i="6"/>
  <c r="W40" i="6" s="1"/>
  <c r="V42" i="6"/>
  <c r="W42" i="6" s="1"/>
  <c r="J45" i="5"/>
  <c r="K45" i="5" s="1"/>
  <c r="J28" i="5"/>
  <c r="K28" i="5" s="1"/>
  <c r="J27" i="5"/>
  <c r="K27" i="5" s="1"/>
  <c r="J29" i="5"/>
  <c r="K29" i="5" s="1"/>
  <c r="J31" i="5"/>
  <c r="K31" i="5" s="1"/>
  <c r="J33" i="5"/>
  <c r="K33" i="5" s="1"/>
  <c r="J30" i="5"/>
  <c r="K30" i="5" s="1"/>
  <c r="J34" i="5"/>
  <c r="K34" i="5" s="1"/>
  <c r="J32" i="5"/>
  <c r="K32" i="5" s="1"/>
  <c r="J36" i="5"/>
  <c r="K36" i="5" s="1"/>
  <c r="J35" i="5"/>
  <c r="K35" i="5" s="1"/>
  <c r="J38" i="5"/>
  <c r="K38" i="5" s="1"/>
  <c r="J42" i="5"/>
  <c r="K42" i="5" s="1"/>
  <c r="J39" i="5"/>
  <c r="K39" i="5" s="1"/>
  <c r="J44" i="5"/>
  <c r="K44" i="5" s="1"/>
  <c r="J87" i="1"/>
  <c r="K87" i="1" s="1"/>
  <c r="J69" i="1"/>
  <c r="K69" i="1" s="1"/>
  <c r="J70" i="1"/>
  <c r="K70" i="1" s="1"/>
  <c r="J71" i="1"/>
  <c r="K71" i="1" s="1"/>
  <c r="J72" i="1"/>
  <c r="K72" i="1" s="1"/>
  <c r="J74" i="1"/>
  <c r="K74" i="1" s="1"/>
  <c r="J75" i="1"/>
  <c r="K75" i="1" s="1"/>
  <c r="J73" i="1"/>
  <c r="K73" i="1" s="1"/>
  <c r="J78" i="1"/>
  <c r="K78" i="1" s="1"/>
  <c r="J77" i="1"/>
  <c r="K77" i="1" s="1"/>
  <c r="J76" i="1"/>
  <c r="K76" i="1" s="1"/>
  <c r="J79" i="1"/>
  <c r="K79" i="1" s="1"/>
  <c r="J81" i="1"/>
  <c r="K81" i="1" s="1"/>
  <c r="J83" i="1"/>
  <c r="K83" i="1" s="1"/>
  <c r="J85" i="1"/>
  <c r="K85" i="1" s="1"/>
  <c r="J82" i="1"/>
  <c r="K82" i="1" s="1"/>
  <c r="J80" i="1"/>
  <c r="K80" i="1" s="1"/>
  <c r="J84" i="1"/>
  <c r="K84" i="1" s="1"/>
  <c r="J86" i="1"/>
  <c r="K86" i="1" s="1"/>
  <c r="J65" i="1"/>
  <c r="K65" i="1" s="1"/>
  <c r="J48" i="1"/>
  <c r="K48" i="1" s="1"/>
  <c r="J47" i="1"/>
  <c r="K47" i="1" s="1"/>
  <c r="J50" i="1"/>
  <c r="K50" i="1" s="1"/>
  <c r="J52" i="1"/>
  <c r="K52" i="1" s="1"/>
  <c r="J49" i="1"/>
  <c r="K49" i="1" s="1"/>
  <c r="J51" i="1"/>
  <c r="K51" i="1" s="1"/>
  <c r="J54" i="1"/>
  <c r="K54" i="1" s="1"/>
  <c r="J53" i="1"/>
  <c r="K53" i="1" s="1"/>
  <c r="J55" i="1"/>
  <c r="K55" i="1" s="1"/>
  <c r="J56" i="1"/>
  <c r="K56" i="1" s="1"/>
  <c r="J59" i="1"/>
  <c r="K59" i="1" s="1"/>
  <c r="J57" i="1"/>
  <c r="K57" i="1" s="1"/>
  <c r="J60" i="1"/>
  <c r="K60" i="1" s="1"/>
  <c r="J58" i="1"/>
  <c r="K58" i="1" s="1"/>
  <c r="J61" i="1"/>
  <c r="K61" i="1" s="1"/>
  <c r="J62" i="1"/>
  <c r="K62" i="1" s="1"/>
  <c r="J64" i="1"/>
  <c r="K64" i="1" s="1"/>
  <c r="J63" i="1"/>
  <c r="K63" i="1" s="1"/>
  <c r="AI38" i="6"/>
  <c r="AI44" i="6"/>
  <c r="AH26" i="6"/>
  <c r="AI26" i="6" s="1"/>
  <c r="AI29" i="6"/>
  <c r="AI30" i="6"/>
  <c r="AI32" i="6"/>
  <c r="AI34" i="6"/>
  <c r="AI35" i="6"/>
  <c r="AI33" i="6"/>
  <c r="AI37" i="6"/>
  <c r="AI36" i="6"/>
  <c r="AI39" i="6"/>
  <c r="AI42" i="6"/>
  <c r="AI43" i="6"/>
  <c r="W37" i="6"/>
  <c r="W41" i="6"/>
  <c r="W44" i="6"/>
  <c r="V26" i="6"/>
  <c r="W26" i="6" s="1"/>
  <c r="W27" i="6"/>
  <c r="W29" i="6"/>
  <c r="W28" i="6"/>
  <c r="W30" i="6"/>
  <c r="W31" i="6"/>
  <c r="W33" i="6"/>
  <c r="W34" i="6"/>
  <c r="W35" i="6"/>
  <c r="W36" i="6"/>
  <c r="J43" i="1"/>
  <c r="K43" i="1" s="1"/>
  <c r="J25" i="1"/>
  <c r="K25" i="1" s="1"/>
  <c r="J29" i="1"/>
  <c r="K29" i="1" s="1"/>
  <c r="J27" i="1"/>
  <c r="J26" i="1"/>
  <c r="J28" i="1"/>
  <c r="K28" i="1" s="1"/>
  <c r="J30" i="1"/>
  <c r="K30" i="1" s="1"/>
  <c r="J32" i="1"/>
  <c r="K32" i="1" s="1"/>
  <c r="J34" i="1"/>
  <c r="K34" i="1" s="1"/>
  <c r="J31" i="1"/>
  <c r="K31" i="1" s="1"/>
  <c r="J36" i="1"/>
  <c r="K36" i="1" s="1"/>
  <c r="J33" i="1"/>
  <c r="K33" i="1" s="1"/>
  <c r="J40" i="1"/>
  <c r="K40" i="1" s="1"/>
  <c r="J35" i="1"/>
  <c r="K35" i="1" s="1"/>
  <c r="J38" i="1"/>
  <c r="K38" i="1" s="1"/>
  <c r="J39" i="1"/>
  <c r="K39" i="1" s="1"/>
  <c r="J37" i="1"/>
  <c r="K37" i="1" s="1"/>
  <c r="J42" i="1"/>
  <c r="K42" i="1" s="1"/>
  <c r="F44" i="6" l="1"/>
  <c r="E27" i="6"/>
  <c r="F27" i="6" s="1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F40" i="6" s="1"/>
  <c r="E41" i="6"/>
  <c r="F41" i="6" s="1"/>
  <c r="E42" i="6"/>
  <c r="F42" i="6" s="1"/>
  <c r="E43" i="6"/>
  <c r="F43" i="6" s="1"/>
  <c r="E26" i="6"/>
  <c r="F26" i="6" s="1"/>
  <c r="G27" i="6" s="1"/>
  <c r="O21" i="6"/>
  <c r="N8" i="6"/>
  <c r="N16" i="6"/>
  <c r="N21" i="6"/>
  <c r="M5" i="6"/>
  <c r="M6" i="6"/>
  <c r="M13" i="6"/>
  <c r="M14" i="6"/>
  <c r="M21" i="6"/>
  <c r="M3" i="6"/>
  <c r="L4" i="6"/>
  <c r="O4" i="6" s="1"/>
  <c r="L5" i="6"/>
  <c r="O5" i="6" s="1"/>
  <c r="L6" i="6"/>
  <c r="O6" i="6" s="1"/>
  <c r="L7" i="6"/>
  <c r="O7" i="6" s="1"/>
  <c r="L8" i="6"/>
  <c r="O8" i="6" s="1"/>
  <c r="L9" i="6"/>
  <c r="O9" i="6" s="1"/>
  <c r="L10" i="6"/>
  <c r="O10" i="6" s="1"/>
  <c r="L11" i="6"/>
  <c r="O11" i="6" s="1"/>
  <c r="L12" i="6"/>
  <c r="O12" i="6" s="1"/>
  <c r="L13" i="6"/>
  <c r="O13" i="6" s="1"/>
  <c r="L14" i="6"/>
  <c r="O14" i="6" s="1"/>
  <c r="L15" i="6"/>
  <c r="O15" i="6" s="1"/>
  <c r="L16" i="6"/>
  <c r="O16" i="6" s="1"/>
  <c r="L17" i="6"/>
  <c r="O17" i="6" s="1"/>
  <c r="L18" i="6"/>
  <c r="O18" i="6" s="1"/>
  <c r="L19" i="6"/>
  <c r="O19" i="6" s="1"/>
  <c r="L20" i="6"/>
  <c r="O20" i="6" s="1"/>
  <c r="K4" i="6"/>
  <c r="N4" i="6" s="1"/>
  <c r="K5" i="6"/>
  <c r="N5" i="6" s="1"/>
  <c r="K6" i="6"/>
  <c r="N6" i="6" s="1"/>
  <c r="K7" i="6"/>
  <c r="N7" i="6" s="1"/>
  <c r="K8" i="6"/>
  <c r="K9" i="6"/>
  <c r="N9" i="6" s="1"/>
  <c r="K10" i="6"/>
  <c r="N10" i="6" s="1"/>
  <c r="K11" i="6"/>
  <c r="N11" i="6" s="1"/>
  <c r="K12" i="6"/>
  <c r="N12" i="6" s="1"/>
  <c r="K13" i="6"/>
  <c r="N13" i="6" s="1"/>
  <c r="K14" i="6"/>
  <c r="N14" i="6" s="1"/>
  <c r="K15" i="6"/>
  <c r="N15" i="6" s="1"/>
  <c r="K16" i="6"/>
  <c r="K17" i="6"/>
  <c r="N17" i="6" s="1"/>
  <c r="K18" i="6"/>
  <c r="N18" i="6" s="1"/>
  <c r="K19" i="6"/>
  <c r="N19" i="6" s="1"/>
  <c r="K20" i="6"/>
  <c r="N20" i="6" s="1"/>
  <c r="L3" i="6"/>
  <c r="O3" i="6" s="1"/>
  <c r="K3" i="6"/>
  <c r="N3" i="6" s="1"/>
  <c r="J4" i="6"/>
  <c r="M4" i="6" s="1"/>
  <c r="J5" i="6"/>
  <c r="J6" i="6"/>
  <c r="J7" i="6"/>
  <c r="M7" i="6" s="1"/>
  <c r="J8" i="6"/>
  <c r="M8" i="6" s="1"/>
  <c r="J9" i="6"/>
  <c r="M9" i="6" s="1"/>
  <c r="J10" i="6"/>
  <c r="M10" i="6" s="1"/>
  <c r="J11" i="6"/>
  <c r="M11" i="6" s="1"/>
  <c r="J12" i="6"/>
  <c r="M12" i="6" s="1"/>
  <c r="J13" i="6"/>
  <c r="J14" i="6"/>
  <c r="J15" i="6"/>
  <c r="M15" i="6" s="1"/>
  <c r="J16" i="6"/>
  <c r="M16" i="6" s="1"/>
  <c r="J17" i="6"/>
  <c r="M17" i="6" s="1"/>
  <c r="J18" i="6"/>
  <c r="M18" i="6" s="1"/>
  <c r="J19" i="6"/>
  <c r="M19" i="6" s="1"/>
  <c r="J20" i="6"/>
  <c r="M20" i="6" s="1"/>
  <c r="J3" i="6"/>
  <c r="B29" i="6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3" i="1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6" i="1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6" i="1"/>
  <c r="I26" i="6" l="1"/>
  <c r="G28" i="6"/>
  <c r="H27" i="6" s="1"/>
  <c r="H26" i="6"/>
  <c r="I27" i="6" l="1"/>
  <c r="G29" i="6"/>
  <c r="I28" i="6"/>
  <c r="G30" i="6" l="1"/>
  <c r="H29" i="6" s="1"/>
  <c r="H28" i="6"/>
  <c r="I29" i="6" l="1"/>
  <c r="G31" i="6"/>
  <c r="G32" i="6" l="1"/>
  <c r="I31" i="6"/>
  <c r="H31" i="6"/>
  <c r="I30" i="6"/>
  <c r="H30" i="6"/>
  <c r="G33" i="6" l="1"/>
  <c r="I32" i="6" s="1"/>
  <c r="H32" i="6" l="1"/>
  <c r="G34" i="6"/>
  <c r="I33" i="6" s="1"/>
  <c r="H33" i="6"/>
  <c r="G35" i="6" l="1"/>
  <c r="I34" i="6"/>
  <c r="H34" i="6"/>
  <c r="G36" i="6" l="1"/>
  <c r="G37" i="6" l="1"/>
  <c r="H36" i="6"/>
  <c r="I36" i="6"/>
  <c r="H35" i="6"/>
  <c r="I35" i="6"/>
  <c r="G38" i="6" l="1"/>
  <c r="H37" i="6"/>
  <c r="G39" i="6" l="1"/>
  <c r="I37" i="6"/>
  <c r="G40" i="6" l="1"/>
  <c r="H39" i="6" s="1"/>
  <c r="I39" i="6"/>
  <c r="I38" i="6"/>
  <c r="H38" i="6"/>
  <c r="G41" i="6" l="1"/>
  <c r="I40" i="6"/>
  <c r="H40" i="6"/>
  <c r="G42" i="6" l="1"/>
  <c r="G43" i="6" l="1"/>
  <c r="I42" i="6"/>
  <c r="H42" i="6"/>
  <c r="I41" i="6"/>
  <c r="H41" i="6"/>
  <c r="G44" i="6" l="1"/>
  <c r="I43" i="6"/>
  <c r="H43" i="6"/>
  <c r="I44" i="6" l="1"/>
  <c r="H44" i="6"/>
  <c r="J41" i="6"/>
  <c r="K41" i="6" s="1"/>
  <c r="J26" i="6" l="1"/>
  <c r="K26" i="6" s="1"/>
  <c r="J30" i="6"/>
  <c r="K30" i="6" s="1"/>
  <c r="J44" i="6"/>
  <c r="K44" i="6" s="1"/>
  <c r="J27" i="6"/>
  <c r="K27" i="6" s="1"/>
  <c r="J28" i="6"/>
  <c r="K28" i="6" s="1"/>
  <c r="J29" i="6"/>
  <c r="K29" i="6" s="1"/>
  <c r="J31" i="6"/>
  <c r="K31" i="6" s="1"/>
  <c r="J32" i="6"/>
  <c r="K32" i="6" s="1"/>
  <c r="J33" i="6"/>
  <c r="K33" i="6" s="1"/>
  <c r="J34" i="6"/>
  <c r="K34" i="6" s="1"/>
  <c r="J38" i="6"/>
  <c r="K38" i="6" s="1"/>
  <c r="J37" i="6"/>
  <c r="K37" i="6" s="1"/>
  <c r="J35" i="6"/>
  <c r="K35" i="6" s="1"/>
  <c r="J36" i="6"/>
  <c r="K36" i="6" s="1"/>
  <c r="J39" i="6"/>
  <c r="K39" i="6" s="1"/>
  <c r="J42" i="6"/>
  <c r="K42" i="6" s="1"/>
  <c r="J43" i="6"/>
  <c r="K43" i="6" s="1"/>
  <c r="J40" i="6"/>
  <c r="K40" i="6" s="1"/>
</calcChain>
</file>

<file path=xl/sharedStrings.xml><?xml version="1.0" encoding="utf-8"?>
<sst xmlns="http://schemas.openxmlformats.org/spreadsheetml/2006/main" count="661" uniqueCount="61">
  <si>
    <t>Afghanistan</t>
  </si>
  <si>
    <t>Age Group</t>
  </si>
  <si>
    <t>Both sexes</t>
  </si>
  <si>
    <t>Male</t>
  </si>
  <si>
    <t>Female</t>
  </si>
  <si>
    <t>nMx - age-specific death rate between ages x and x+n</t>
  </si>
  <si>
    <t>&lt;1 year</t>
  </si>
  <si>
    <t>1-4 years</t>
  </si>
  <si>
    <t>5-9 years</t>
  </si>
  <si>
    <t>10-14 years</t>
  </si>
  <si>
    <t>15-19 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</si>
  <si>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</si>
  <si>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</si>
  <si>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</si>
  <si>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</si>
  <si>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</si>
  <si>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</si>
  <si>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</si>
  <si>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</si>
  <si>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</si>
  <si>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</si>
  <si>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</si>
  <si>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</si>
  <si>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</si>
  <si>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85+ years</t>
  </si>
  <si>
    <t>nqx - probability of dying between ages x and x+n</t>
  </si>
  <si>
    <t>Bangladesh-2019</t>
  </si>
  <si>
    <t>Cuba</t>
  </si>
  <si>
    <t>USA</t>
  </si>
  <si>
    <t>Japan</t>
  </si>
  <si>
    <t>India</t>
  </si>
  <si>
    <t>Germany</t>
  </si>
  <si>
    <t>SouthAfrica</t>
  </si>
  <si>
    <t>Chile</t>
  </si>
  <si>
    <t>Uganda</t>
  </si>
  <si>
    <t>Brazil</t>
  </si>
  <si>
    <t>Italy</t>
  </si>
  <si>
    <t>nMx</t>
  </si>
  <si>
    <t>nqx</t>
  </si>
  <si>
    <t>start age-x</t>
  </si>
  <si>
    <t>interval-n</t>
  </si>
  <si>
    <t>INF</t>
  </si>
  <si>
    <t>qxn_estimate</t>
  </si>
  <si>
    <t>qxn_ratios</t>
  </si>
  <si>
    <t>nMx_both</t>
  </si>
  <si>
    <t>q(x,n)</t>
  </si>
  <si>
    <t>q(x,n)_Calculated</t>
  </si>
  <si>
    <t>ratio_qxn</t>
  </si>
  <si>
    <t>p(x,n)</t>
  </si>
  <si>
    <t>l(x)</t>
  </si>
  <si>
    <t>d(x,n)</t>
  </si>
  <si>
    <t>L(x,n)</t>
  </si>
  <si>
    <t>T(x)</t>
  </si>
  <si>
    <t>e(x)</t>
  </si>
  <si>
    <t>nMx_male</t>
  </si>
  <si>
    <t>nMx_Female</t>
  </si>
  <si>
    <t>nMx_Male</t>
  </si>
  <si>
    <t>l(x)-Male</t>
  </si>
  <si>
    <t>l(x)-Female</t>
  </si>
  <si>
    <t>e(x)_Male</t>
  </si>
  <si>
    <t>e(x)_Female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</si>
</sst>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C61E-BFDB-436A-97C9-217BEAFDD45A}">
  <dimension ref="A1:O87"/>
  <sheetViews>
    <sheetView workbookViewId="0">
      <selection activeCell="E12" sqref="E12"/>
    </sheetView>
  </sheetViews>
  <sheetFormatPr defaultRowHeight="14.6" x14ac:dyDescent="0.4"/>
  <sheetData>
    <row r="1" spans="1:15" x14ac:dyDescent="0.4">
      <c r="B1" t="s">
        <v>0</v>
      </c>
      <c r="C1">
        <v>2019</v>
      </c>
      <c r="D1" s="8" t="s">
        <v>5</v>
      </c>
      <c r="E1" s="8"/>
      <c r="F1" s="8"/>
      <c r="G1" t="s">
        <v>25</v>
      </c>
      <c r="J1" s="8" t="s">
        <v>42</v>
      </c>
      <c r="K1" s="8"/>
      <c r="L1" s="8"/>
      <c r="M1" s="8" t="s">
        <v>43</v>
      </c>
      <c r="N1" s="8"/>
      <c r="O1" s="8"/>
    </row>
    <row r="2" spans="1:15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  <c r="J2" t="s">
        <v>2</v>
      </c>
      <c r="K2" t="s">
        <v>3</v>
      </c>
      <c r="L2" t="s">
        <v>4</v>
      </c>
      <c r="M2" t="s">
        <v>2</v>
      </c>
      <c r="N2" t="s">
        <v>3</v>
      </c>
      <c r="O2" t="s">
        <v>4</v>
      </c>
    </row>
    <row r="3" spans="1:15" x14ac:dyDescent="0.4">
      <c r="A3">
        <v>0</v>
      </c>
      <c r="B3">
        <v>1</v>
      </c>
      <c r="C3" t="s">
        <v>6</v>
      </c>
      <c r="D3">
        <v>4.7802516000000003E-2</v>
      </c>
      <c r="E3">
        <v>5.1325889E-2</v>
      </c>
      <c r="F3">
        <v>4.4104237999999997E-2</v>
      </c>
      <c r="G3">
        <v>4.6254749999999997E-2</v>
      </c>
      <c r="H3">
        <v>4.9545802E-2</v>
      </c>
      <c r="I3">
        <v>4.2783387999999999E-2</v>
      </c>
      <c r="J3">
        <f>1-EXP(-B3*D3)</f>
        <v>4.6677965662388909E-2</v>
      </c>
      <c r="K3">
        <f>1-EXP(-B3*E3)</f>
        <v>5.0030964377188347E-2</v>
      </c>
      <c r="L3">
        <f>1-EXP(-B3*F3)</f>
        <v>4.3145788294832399E-2</v>
      </c>
      <c r="M3">
        <f>J3/G3</f>
        <v>1.0091496692207591</v>
      </c>
      <c r="N3">
        <f>K3/H3</f>
        <v>1.0097921994922667</v>
      </c>
      <c r="O3">
        <f>L3/I3</f>
        <v>1.008470584303244</v>
      </c>
    </row>
    <row r="4" spans="1:15" x14ac:dyDescent="0.4">
      <c r="A4">
        <v>1</v>
      </c>
      <c r="B4">
        <v>4</v>
      </c>
      <c r="C4" t="s">
        <v>7</v>
      </c>
      <c r="D4">
        <v>3.6085639999999999E-3</v>
      </c>
      <c r="E4">
        <v>3.668017E-3</v>
      </c>
      <c r="F4">
        <v>3.5459570000000002E-3</v>
      </c>
      <c r="G4">
        <v>1.4310323E-2</v>
      </c>
      <c r="H4">
        <v>1.4544032E-2</v>
      </c>
      <c r="I4">
        <v>1.4064138E-2</v>
      </c>
      <c r="J4">
        <f t="shared" ref="J4:J20" si="0">1-EXP(-B4*D4)</f>
        <v>1.4330581547490673E-2</v>
      </c>
      <c r="K4">
        <f t="shared" ref="K4:K20" si="1">1-EXP(-B4*E4)</f>
        <v>1.4564957693397051E-2</v>
      </c>
      <c r="L4">
        <f t="shared" ref="L4:L20" si="2">1-EXP(-B4*F4)</f>
        <v>1.4083711416059908E-2</v>
      </c>
      <c r="M4">
        <f t="shared" ref="M4:M21" si="3">J4/G4</f>
        <v>1.0014156596948003</v>
      </c>
      <c r="N4">
        <f t="shared" ref="N4:N21" si="4">K4/H4</f>
        <v>1.0014387821339399</v>
      </c>
      <c r="O4">
        <f t="shared" ref="O4:O21" si="5">L4/I4</f>
        <v>1.0013917252561022</v>
      </c>
    </row>
    <row r="5" spans="1:15" x14ac:dyDescent="0.4">
      <c r="A5">
        <v>5</v>
      </c>
      <c r="B5">
        <v>5</v>
      </c>
      <c r="C5" t="s">
        <v>8</v>
      </c>
      <c r="D5">
        <v>4.6138100000000002E-4</v>
      </c>
      <c r="E5">
        <v>4.6899799999999998E-4</v>
      </c>
      <c r="F5">
        <v>4.53392E-4</v>
      </c>
      <c r="G5">
        <v>2.3042470000000002E-3</v>
      </c>
      <c r="H5">
        <v>2.3422450000000002E-3</v>
      </c>
      <c r="I5">
        <v>2.2643910000000001E-3</v>
      </c>
      <c r="J5">
        <f t="shared" si="0"/>
        <v>2.3042461396328706E-3</v>
      </c>
      <c r="K5">
        <f t="shared" si="1"/>
        <v>2.3422426588654011E-3</v>
      </c>
      <c r="L5">
        <f t="shared" si="2"/>
        <v>2.2643923867711191E-3</v>
      </c>
      <c r="M5">
        <f t="shared" si="3"/>
        <v>0.9999996266167952</v>
      </c>
      <c r="N5">
        <f t="shared" si="4"/>
        <v>0.99999900047407542</v>
      </c>
      <c r="O5">
        <f t="shared" si="5"/>
        <v>1.0000006124256451</v>
      </c>
    </row>
    <row r="6" spans="1:15" x14ac:dyDescent="0.4">
      <c r="A6">
        <f>A5+5</f>
        <v>10</v>
      </c>
      <c r="B6">
        <v>5</v>
      </c>
      <c r="C6" t="s">
        <v>9</v>
      </c>
      <c r="D6">
        <v>3.6963000000000002E-4</v>
      </c>
      <c r="E6">
        <v>3.8656500000000001E-4</v>
      </c>
      <c r="F6">
        <v>3.5192699999999998E-4</v>
      </c>
      <c r="G6">
        <v>1.8464429999999999E-3</v>
      </c>
      <c r="H6">
        <v>1.930958E-3</v>
      </c>
      <c r="I6">
        <v>1.7580899999999999E-3</v>
      </c>
      <c r="J6">
        <f t="shared" si="0"/>
        <v>1.8464432224110094E-3</v>
      </c>
      <c r="K6">
        <f t="shared" si="1"/>
        <v>1.9309582966237082E-3</v>
      </c>
      <c r="L6">
        <f t="shared" si="2"/>
        <v>1.7580877499981939E-3</v>
      </c>
      <c r="M6">
        <f t="shared" si="3"/>
        <v>1.0000001204537641</v>
      </c>
      <c r="N6">
        <f t="shared" si="4"/>
        <v>1.0000001536147902</v>
      </c>
      <c r="O6">
        <f t="shared" si="5"/>
        <v>0.99999872020101022</v>
      </c>
    </row>
    <row r="7" spans="1:15" x14ac:dyDescent="0.4">
      <c r="A7">
        <f t="shared" ref="A7:A21" si="6">A6+5</f>
        <v>15</v>
      </c>
      <c r="B7">
        <v>5</v>
      </c>
      <c r="C7" t="s">
        <v>10</v>
      </c>
      <c r="D7">
        <v>1.322929E-3</v>
      </c>
      <c r="E7">
        <v>1.457699E-3</v>
      </c>
      <c r="F7">
        <v>1.1805629999999999E-3</v>
      </c>
      <c r="G7">
        <v>6.5928419999999998E-3</v>
      </c>
      <c r="H7">
        <v>7.2620310000000004E-3</v>
      </c>
      <c r="I7">
        <v>5.8854459999999999E-3</v>
      </c>
      <c r="J7">
        <f t="shared" si="0"/>
        <v>6.5928163917783333E-3</v>
      </c>
      <c r="K7">
        <f t="shared" si="1"/>
        <v>7.2619983330056703E-3</v>
      </c>
      <c r="L7">
        <f t="shared" si="2"/>
        <v>5.8854276158638585E-3</v>
      </c>
      <c r="M7">
        <f t="shared" si="3"/>
        <v>0.99999611575377256</v>
      </c>
      <c r="N7">
        <f t="shared" si="4"/>
        <v>0.99999550167242057</v>
      </c>
      <c r="O7">
        <f t="shared" si="5"/>
        <v>0.9999968763393392</v>
      </c>
    </row>
    <row r="8" spans="1:15" x14ac:dyDescent="0.4">
      <c r="A8">
        <f t="shared" si="6"/>
        <v>20</v>
      </c>
      <c r="B8">
        <v>5</v>
      </c>
      <c r="C8" t="s">
        <v>11</v>
      </c>
      <c r="D8">
        <v>2.0106360000000001E-3</v>
      </c>
      <c r="E8">
        <v>2.2178760000000001E-3</v>
      </c>
      <c r="F8">
        <v>1.791408E-3</v>
      </c>
      <c r="G8">
        <v>1.0002899000000001E-2</v>
      </c>
      <c r="H8">
        <v>1.1028232000000001E-2</v>
      </c>
      <c r="I8">
        <v>8.9171040000000003E-3</v>
      </c>
      <c r="J8">
        <f t="shared" si="0"/>
        <v>1.0002815701029455E-2</v>
      </c>
      <c r="K8">
        <f t="shared" si="1"/>
        <v>1.1028119481771292E-2</v>
      </c>
      <c r="L8">
        <f t="shared" si="2"/>
        <v>8.9170452179181403E-3</v>
      </c>
      <c r="M8">
        <f t="shared" si="3"/>
        <v>0.99999167251708265</v>
      </c>
      <c r="N8">
        <f t="shared" si="4"/>
        <v>0.99998979725592385</v>
      </c>
      <c r="O8">
        <f t="shared" si="5"/>
        <v>0.99999340794030667</v>
      </c>
    </row>
    <row r="9" spans="1:15" x14ac:dyDescent="0.4">
      <c r="A9">
        <f t="shared" si="6"/>
        <v>25</v>
      </c>
      <c r="B9">
        <v>5</v>
      </c>
      <c r="C9" t="s">
        <v>12</v>
      </c>
      <c r="D9">
        <v>2.486303E-3</v>
      </c>
      <c r="E9">
        <v>2.5492409999999998E-3</v>
      </c>
      <c r="F9">
        <v>2.4181710000000002E-3</v>
      </c>
      <c r="G9">
        <v>1.2354723E-2</v>
      </c>
      <c r="H9">
        <v>1.2665488000000001E-2</v>
      </c>
      <c r="I9">
        <v>1.2018199E-2</v>
      </c>
      <c r="J9">
        <f t="shared" si="0"/>
        <v>1.2354562924432488E-2</v>
      </c>
      <c r="K9">
        <f t="shared" si="1"/>
        <v>1.2665316168992136E-2</v>
      </c>
      <c r="L9">
        <f t="shared" si="2"/>
        <v>1.2018054315581339E-2</v>
      </c>
      <c r="M9">
        <f t="shared" si="3"/>
        <v>0.99998704337057887</v>
      </c>
      <c r="N9">
        <f t="shared" si="4"/>
        <v>0.99998643313168312</v>
      </c>
      <c r="O9">
        <f t="shared" si="5"/>
        <v>0.99998796122292022</v>
      </c>
    </row>
    <row r="10" spans="1:15" x14ac:dyDescent="0.4">
      <c r="A10">
        <f t="shared" si="6"/>
        <v>30</v>
      </c>
      <c r="B10">
        <v>5</v>
      </c>
      <c r="C10" t="s">
        <v>13</v>
      </c>
      <c r="D10">
        <v>3.1067130000000001E-3</v>
      </c>
      <c r="E10">
        <v>3.065215E-3</v>
      </c>
      <c r="F10">
        <v>3.1525070000000001E-3</v>
      </c>
      <c r="G10">
        <v>1.5413848000000001E-2</v>
      </c>
      <c r="H10">
        <v>1.5209525E-2</v>
      </c>
      <c r="I10">
        <v>1.5639276000000001E-2</v>
      </c>
      <c r="J10">
        <f t="shared" si="0"/>
        <v>1.5413541447376611E-2</v>
      </c>
      <c r="K10">
        <f t="shared" si="1"/>
        <v>1.5209228407368269E-2</v>
      </c>
      <c r="L10">
        <f t="shared" si="2"/>
        <v>1.563895640117563E-2</v>
      </c>
      <c r="M10">
        <f t="shared" si="3"/>
        <v>0.99998011186931457</v>
      </c>
      <c r="N10">
        <f t="shared" si="4"/>
        <v>0.99998049954671631</v>
      </c>
      <c r="O10">
        <f t="shared" si="5"/>
        <v>0.9999795643465611</v>
      </c>
    </row>
    <row r="11" spans="1:15" x14ac:dyDescent="0.4">
      <c r="A11">
        <f t="shared" si="6"/>
        <v>35</v>
      </c>
      <c r="B11">
        <v>5</v>
      </c>
      <c r="C11" t="s">
        <v>14</v>
      </c>
      <c r="D11">
        <v>4.3716969999999999E-3</v>
      </c>
      <c r="E11">
        <v>4.0815169999999998E-3</v>
      </c>
      <c r="F11">
        <v>4.6858799999999999E-3</v>
      </c>
      <c r="G11">
        <v>2.162217E-2</v>
      </c>
      <c r="H11">
        <v>2.0201454000000001E-2</v>
      </c>
      <c r="I11">
        <v>2.3158109999999999E-2</v>
      </c>
      <c r="J11">
        <f t="shared" si="0"/>
        <v>2.1621319486102908E-2</v>
      </c>
      <c r="K11">
        <f t="shared" si="1"/>
        <v>2.020075956255174E-2</v>
      </c>
      <c r="L11">
        <f t="shared" si="2"/>
        <v>2.3157062654190708E-2</v>
      </c>
      <c r="M11">
        <f t="shared" si="3"/>
        <v>0.99996066472990031</v>
      </c>
      <c r="N11">
        <f t="shared" si="4"/>
        <v>0.99996562438286563</v>
      </c>
      <c r="O11">
        <f t="shared" si="5"/>
        <v>0.99995477412408473</v>
      </c>
    </row>
    <row r="12" spans="1:15" x14ac:dyDescent="0.4">
      <c r="A12">
        <f t="shared" si="6"/>
        <v>40</v>
      </c>
      <c r="B12">
        <v>5</v>
      </c>
      <c r="C12" t="s">
        <v>15</v>
      </c>
      <c r="D12">
        <v>6.4829149999999997E-3</v>
      </c>
      <c r="E12">
        <v>6.0906809999999997E-3</v>
      </c>
      <c r="F12">
        <v>6.9143809999999998E-3</v>
      </c>
      <c r="G12">
        <v>3.1897600999999998E-2</v>
      </c>
      <c r="H12">
        <v>2.9996654000000001E-2</v>
      </c>
      <c r="I12">
        <v>3.3984449E-2</v>
      </c>
      <c r="J12">
        <f t="shared" si="0"/>
        <v>3.1894853318778171E-2</v>
      </c>
      <c r="K12">
        <f t="shared" si="1"/>
        <v>2.9994371573503265E-2</v>
      </c>
      <c r="L12">
        <f t="shared" si="2"/>
        <v>3.3981124398136164E-2</v>
      </c>
      <c r="M12">
        <f t="shared" si="3"/>
        <v>0.99991385931431565</v>
      </c>
      <c r="N12">
        <f t="shared" si="4"/>
        <v>0.99992391063027442</v>
      </c>
      <c r="O12">
        <f t="shared" si="5"/>
        <v>0.99990217284782712</v>
      </c>
    </row>
    <row r="13" spans="1:15" x14ac:dyDescent="0.4">
      <c r="A13">
        <f t="shared" si="6"/>
        <v>45</v>
      </c>
      <c r="B13">
        <v>5</v>
      </c>
      <c r="C13" t="s">
        <v>16</v>
      </c>
      <c r="D13">
        <v>9.4458200000000006E-3</v>
      </c>
      <c r="E13">
        <v>8.8323229999999996E-3</v>
      </c>
      <c r="F13">
        <v>1.0105872E-2</v>
      </c>
      <c r="G13">
        <v>4.6139535000000002E-2</v>
      </c>
      <c r="H13">
        <v>4.3207557000000001E-2</v>
      </c>
      <c r="I13">
        <v>4.9284212000000001E-2</v>
      </c>
      <c r="J13">
        <f t="shared" si="0"/>
        <v>4.6131158795826854E-2</v>
      </c>
      <c r="K13">
        <f t="shared" si="1"/>
        <v>4.3200688143928079E-2</v>
      </c>
      <c r="L13">
        <f t="shared" si="2"/>
        <v>4.927398505324343E-2</v>
      </c>
      <c r="M13">
        <f t="shared" si="3"/>
        <v>0.99981845928501123</v>
      </c>
      <c r="N13">
        <f t="shared" si="4"/>
        <v>0.99984102651135953</v>
      </c>
      <c r="O13">
        <f t="shared" si="5"/>
        <v>0.99979249040734242</v>
      </c>
    </row>
    <row r="14" spans="1:15" x14ac:dyDescent="0.4">
      <c r="A14">
        <f t="shared" si="6"/>
        <v>50</v>
      </c>
      <c r="B14">
        <v>5</v>
      </c>
      <c r="C14" t="s">
        <v>17</v>
      </c>
      <c r="D14">
        <v>1.4107692E-2</v>
      </c>
      <c r="E14">
        <v>1.3405175E-2</v>
      </c>
      <c r="F14">
        <v>1.4846655E-2</v>
      </c>
      <c r="G14">
        <v>6.8135378999999996E-2</v>
      </c>
      <c r="H14">
        <v>6.4852479000000005E-2</v>
      </c>
      <c r="I14">
        <v>7.1576593999999993E-2</v>
      </c>
      <c r="J14">
        <f t="shared" si="0"/>
        <v>6.810810172583015E-2</v>
      </c>
      <c r="K14">
        <f t="shared" si="1"/>
        <v>6.4828996525996829E-2</v>
      </c>
      <c r="L14">
        <f t="shared" si="2"/>
        <v>7.1544916782189771E-2</v>
      </c>
      <c r="M14">
        <f t="shared" si="3"/>
        <v>0.99959966063783334</v>
      </c>
      <c r="N14">
        <f t="shared" si="4"/>
        <v>0.99963790938503405</v>
      </c>
      <c r="O14">
        <f t="shared" si="5"/>
        <v>0.99955743608294323</v>
      </c>
    </row>
    <row r="15" spans="1:15" x14ac:dyDescent="0.4">
      <c r="A15">
        <f t="shared" si="6"/>
        <v>55</v>
      </c>
      <c r="B15">
        <v>5</v>
      </c>
      <c r="C15" t="s">
        <v>18</v>
      </c>
      <c r="D15">
        <v>2.0835200000000002E-2</v>
      </c>
      <c r="E15">
        <v>1.9765525999999999E-2</v>
      </c>
      <c r="F15">
        <v>2.1944426E-2</v>
      </c>
      <c r="G15">
        <v>9.9018332000000001E-2</v>
      </c>
      <c r="H15">
        <v>9.4174128999999995E-2</v>
      </c>
      <c r="I15">
        <v>0.10401571900000001</v>
      </c>
      <c r="J15">
        <f t="shared" si="0"/>
        <v>9.8933304273782774E-2</v>
      </c>
      <c r="K15">
        <f t="shared" si="1"/>
        <v>9.4101155649646717E-2</v>
      </c>
      <c r="L15">
        <f t="shared" si="2"/>
        <v>0.10391690468463854</v>
      </c>
      <c r="M15">
        <f t="shared" si="3"/>
        <v>0.99914129308684752</v>
      </c>
      <c r="N15">
        <f t="shared" si="4"/>
        <v>0.99922512317206269</v>
      </c>
      <c r="O15">
        <f t="shared" si="5"/>
        <v>0.99905000593841531</v>
      </c>
    </row>
    <row r="16" spans="1:15" x14ac:dyDescent="0.4">
      <c r="A16">
        <f t="shared" si="6"/>
        <v>60</v>
      </c>
      <c r="B16">
        <v>5</v>
      </c>
      <c r="C16" t="s">
        <v>19</v>
      </c>
      <c r="D16">
        <v>3.0681915000000001E-2</v>
      </c>
      <c r="E16">
        <v>3.0054531999999998E-2</v>
      </c>
      <c r="F16">
        <v>3.1303057000000002E-2</v>
      </c>
      <c r="G16">
        <v>0.14248063</v>
      </c>
      <c r="H16">
        <v>0.139770796</v>
      </c>
      <c r="I16">
        <v>0.14515573900000001</v>
      </c>
      <c r="J16">
        <f t="shared" si="0"/>
        <v>0.14222167470289115</v>
      </c>
      <c r="K16">
        <f t="shared" si="1"/>
        <v>0.13952667222069071</v>
      </c>
      <c r="L16">
        <f t="shared" si="2"/>
        <v>0.14488155288244609</v>
      </c>
      <c r="M16">
        <f t="shared" si="3"/>
        <v>0.99818252279549269</v>
      </c>
      <c r="N16">
        <f t="shared" si="4"/>
        <v>0.99825339923434864</v>
      </c>
      <c r="O16">
        <f t="shared" si="5"/>
        <v>0.99811109006476195</v>
      </c>
    </row>
    <row r="17" spans="1:15" x14ac:dyDescent="0.4">
      <c r="A17">
        <f t="shared" si="6"/>
        <v>65</v>
      </c>
      <c r="B17">
        <v>5</v>
      </c>
      <c r="C17" t="s">
        <v>20</v>
      </c>
      <c r="D17">
        <v>4.3881399000000001E-2</v>
      </c>
      <c r="E17">
        <v>4.3554478000000001E-2</v>
      </c>
      <c r="F17">
        <v>4.4185110999999999E-2</v>
      </c>
      <c r="G17">
        <v>0.19771677200000001</v>
      </c>
      <c r="H17">
        <v>0.19638840599999999</v>
      </c>
      <c r="I17">
        <v>0.198949086</v>
      </c>
      <c r="J17">
        <f t="shared" si="0"/>
        <v>0.19700516324499384</v>
      </c>
      <c r="K17">
        <f t="shared" si="1"/>
        <v>0.19569151051069544</v>
      </c>
      <c r="L17">
        <f t="shared" si="2"/>
        <v>0.19822363368990514</v>
      </c>
      <c r="M17">
        <f t="shared" si="3"/>
        <v>0.99640086803052719</v>
      </c>
      <c r="N17">
        <f t="shared" si="4"/>
        <v>0.99645144281427411</v>
      </c>
      <c r="O17">
        <f t="shared" si="5"/>
        <v>0.99635357807024627</v>
      </c>
    </row>
    <row r="18" spans="1:15" x14ac:dyDescent="0.4">
      <c r="A18">
        <f t="shared" si="6"/>
        <v>70</v>
      </c>
      <c r="B18">
        <v>5</v>
      </c>
      <c r="C18" t="s">
        <v>21</v>
      </c>
      <c r="D18">
        <v>6.4737070999999993E-2</v>
      </c>
      <c r="E18">
        <v>6.3182848999999999E-2</v>
      </c>
      <c r="F18">
        <v>6.6005128999999996E-2</v>
      </c>
      <c r="G18">
        <v>0.27859654499999997</v>
      </c>
      <c r="H18">
        <v>0.272820332</v>
      </c>
      <c r="I18">
        <v>0.28328069700000003</v>
      </c>
      <c r="J18">
        <f t="shared" si="0"/>
        <v>0.276522154742468</v>
      </c>
      <c r="K18">
        <f t="shared" si="1"/>
        <v>0.27087802665842797</v>
      </c>
      <c r="L18">
        <f t="shared" si="2"/>
        <v>0.28109470313081386</v>
      </c>
      <c r="M18">
        <f t="shared" si="3"/>
        <v>0.9925541422003924</v>
      </c>
      <c r="N18">
        <f t="shared" si="4"/>
        <v>0.99288064299558132</v>
      </c>
      <c r="O18">
        <f t="shared" si="5"/>
        <v>0.99228329394718284</v>
      </c>
    </row>
    <row r="19" spans="1:15" x14ac:dyDescent="0.4">
      <c r="A19">
        <f t="shared" si="6"/>
        <v>75</v>
      </c>
      <c r="B19">
        <v>5</v>
      </c>
      <c r="C19" t="s">
        <v>22</v>
      </c>
      <c r="D19">
        <v>9.4998040000000006E-2</v>
      </c>
      <c r="E19">
        <v>9.1218707999999996E-2</v>
      </c>
      <c r="F19">
        <v>9.8262877999999998E-2</v>
      </c>
      <c r="G19">
        <v>0.38383198299999999</v>
      </c>
      <c r="H19">
        <v>0.371397533</v>
      </c>
      <c r="I19">
        <v>0.39442182999999997</v>
      </c>
      <c r="J19">
        <f t="shared" si="0"/>
        <v>0.37810884903156361</v>
      </c>
      <c r="K19">
        <f t="shared" si="1"/>
        <v>0.36624544707500917</v>
      </c>
      <c r="L19">
        <f t="shared" si="2"/>
        <v>0.38817830686048127</v>
      </c>
      <c r="M19">
        <f t="shared" si="3"/>
        <v>0.9850894812784885</v>
      </c>
      <c r="N19">
        <f t="shared" si="4"/>
        <v>0.98612784020568378</v>
      </c>
      <c r="O19">
        <f t="shared" si="5"/>
        <v>0.98417044224068762</v>
      </c>
    </row>
    <row r="20" spans="1:15" x14ac:dyDescent="0.4">
      <c r="A20">
        <f t="shared" si="6"/>
        <v>80</v>
      </c>
      <c r="B20">
        <v>5</v>
      </c>
      <c r="C20" t="s">
        <v>23</v>
      </c>
      <c r="D20">
        <v>0.1405178</v>
      </c>
      <c r="E20">
        <v>0.13520686700000001</v>
      </c>
      <c r="F20">
        <v>0.14467101499999999</v>
      </c>
      <c r="G20">
        <v>0.51993773399999998</v>
      </c>
      <c r="H20">
        <v>0.50525086900000005</v>
      </c>
      <c r="I20">
        <v>0.53122347700000005</v>
      </c>
      <c r="J20">
        <f t="shared" si="0"/>
        <v>0.50469869270942569</v>
      </c>
      <c r="K20">
        <f t="shared" si="1"/>
        <v>0.49136994543242329</v>
      </c>
      <c r="L20">
        <f t="shared" si="2"/>
        <v>0.51487809785618499</v>
      </c>
      <c r="M20">
        <f t="shared" si="3"/>
        <v>0.97069064179409159</v>
      </c>
      <c r="N20">
        <f t="shared" si="4"/>
        <v>0.97252667057248199</v>
      </c>
      <c r="O20">
        <f t="shared" si="5"/>
        <v>0.96923069131634965</v>
      </c>
    </row>
    <row r="21" spans="1:15" x14ac:dyDescent="0.4">
      <c r="A21">
        <f t="shared" si="6"/>
        <v>85</v>
      </c>
      <c r="B21" t="s">
        <v>41</v>
      </c>
      <c r="C21" t="s">
        <v>24</v>
      </c>
      <c r="D21">
        <v>0.23508720599999999</v>
      </c>
      <c r="E21">
        <v>0.23256916899999999</v>
      </c>
      <c r="F21">
        <v>0.23689687000000001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f t="shared" si="3"/>
        <v>1</v>
      </c>
      <c r="N21">
        <f t="shared" si="4"/>
        <v>1</v>
      </c>
      <c r="O21">
        <f t="shared" si="5"/>
        <v>1</v>
      </c>
    </row>
    <row r="24" spans="1:15" x14ac:dyDescent="0.4">
      <c r="A24" t="s">
        <v>1</v>
      </c>
      <c r="B24" t="s">
        <v>39</v>
      </c>
      <c r="C24" t="s">
        <v>40</v>
      </c>
      <c r="D24" s="2" t="s">
        <v>44</v>
      </c>
      <c r="E24" s="2" t="s">
        <v>45</v>
      </c>
      <c r="F24" s="2" t="s">
        <v>48</v>
      </c>
      <c r="G24" s="2" t="s">
        <v>49</v>
      </c>
      <c r="H24" s="2" t="s">
        <v>50</v>
      </c>
      <c r="I24" s="2" t="s">
        <v>51</v>
      </c>
      <c r="J24" s="2" t="s">
        <v>52</v>
      </c>
      <c r="K24" s="2" t="s">
        <v>53</v>
      </c>
    </row>
    <row r="25" spans="1:15" x14ac:dyDescent="0.4">
      <c r="A25" t="s">
        <v>6</v>
      </c>
      <c r="B25">
        <v>0</v>
      </c>
      <c r="C25">
        <v>1</v>
      </c>
      <c r="D25">
        <v>4.7802516000000003E-2</v>
      </c>
      <c r="E25">
        <f>1-EXP(-C25*D25)</f>
        <v>4.6677965662388909E-2</v>
      </c>
      <c r="F25">
        <f>1-E25</f>
        <v>0.95332203433761109</v>
      </c>
      <c r="G25" s="7">
        <v>100000</v>
      </c>
      <c r="H25" s="7">
        <f>G25-G26</f>
        <v>4667.7965662388888</v>
      </c>
      <c r="I25">
        <f>1/2*(G25+G26)*C25</f>
        <v>97666.101716880556</v>
      </c>
      <c r="J25">
        <f>SUM(I25:I43)</f>
        <v>6326498.0262618903</v>
      </c>
      <c r="K25">
        <f>J25/G25</f>
        <v>63.264980262618906</v>
      </c>
    </row>
    <row r="26" spans="1:15" x14ac:dyDescent="0.4">
      <c r="A26" t="s">
        <v>7</v>
      </c>
      <c r="B26">
        <v>1</v>
      </c>
      <c r="C26">
        <v>4</v>
      </c>
      <c r="D26">
        <v>3.6085639999999999E-3</v>
      </c>
      <c r="E26">
        <f t="shared" ref="E26:E42" si="7">1-EXP(-C26*D26)</f>
        <v>1.4330581547490673E-2</v>
      </c>
      <c r="F26">
        <f t="shared" ref="F26:F43" si="8">1-E26</f>
        <v>0.98566941845250933</v>
      </c>
      <c r="G26" s="7">
        <f>G25*F25</f>
        <v>95332.203433761111</v>
      </c>
      <c r="H26" s="7">
        <f t="shared" ref="H26:H43" si="9">G26-G27</f>
        <v>1366.1659154094814</v>
      </c>
      <c r="I26">
        <f t="shared" ref="I26:I42" si="10">1/2*(G26+G27)*C26</f>
        <v>378596.48190422548</v>
      </c>
      <c r="J26">
        <f t="shared" ref="J26:J43" si="11">SUM(I26:I44)</f>
        <v>6228831.9245450096</v>
      </c>
      <c r="K26">
        <f t="shared" ref="K26:K43" si="12">J26/G26</f>
        <v>65.338172204033214</v>
      </c>
    </row>
    <row r="27" spans="1:15" x14ac:dyDescent="0.4">
      <c r="A27" t="s">
        <v>8</v>
      </c>
      <c r="B27">
        <v>5</v>
      </c>
      <c r="C27">
        <v>5</v>
      </c>
      <c r="D27">
        <v>4.6138100000000002E-4</v>
      </c>
      <c r="E27">
        <f t="shared" si="7"/>
        <v>2.3042461396328706E-3</v>
      </c>
      <c r="F27">
        <f t="shared" si="8"/>
        <v>0.99769575386036713</v>
      </c>
      <c r="G27" s="7">
        <f t="shared" ref="G27:G43" si="13">G26*F26</f>
        <v>93966.03751835163</v>
      </c>
      <c r="H27" s="7">
        <f t="shared" si="9"/>
        <v>216.52087920825579</v>
      </c>
      <c r="I27">
        <f t="shared" si="10"/>
        <v>469288.88539373752</v>
      </c>
      <c r="J27">
        <f t="shared" si="11"/>
        <v>5850235.4426407833</v>
      </c>
      <c r="K27">
        <f t="shared" si="12"/>
        <v>62.259041640424904</v>
      </c>
    </row>
    <row r="28" spans="1:15" x14ac:dyDescent="0.4">
      <c r="A28" t="s">
        <v>9</v>
      </c>
      <c r="B28">
        <f>B27+5</f>
        <v>10</v>
      </c>
      <c r="C28">
        <v>5</v>
      </c>
      <c r="D28">
        <v>3.6963000000000002E-4</v>
      </c>
      <c r="E28">
        <f t="shared" si="7"/>
        <v>1.8464432224110094E-3</v>
      </c>
      <c r="F28">
        <f t="shared" si="8"/>
        <v>0.99815355677758899</v>
      </c>
      <c r="G28" s="7">
        <f t="shared" si="13"/>
        <v>93749.516639143374</v>
      </c>
      <c r="H28" s="7">
        <f t="shared" si="9"/>
        <v>173.10315960265871</v>
      </c>
      <c r="I28">
        <f t="shared" si="10"/>
        <v>468314.82529671019</v>
      </c>
      <c r="J28">
        <f t="shared" si="11"/>
        <v>5380946.5572470464</v>
      </c>
      <c r="K28">
        <f t="shared" si="12"/>
        <v>57.397059207880034</v>
      </c>
    </row>
    <row r="29" spans="1:15" x14ac:dyDescent="0.4">
      <c r="A29" t="s">
        <v>10</v>
      </c>
      <c r="B29">
        <f t="shared" ref="B29:B43" si="14">B28+5</f>
        <v>15</v>
      </c>
      <c r="C29">
        <v>5</v>
      </c>
      <c r="D29">
        <v>1.322929E-3</v>
      </c>
      <c r="E29">
        <f t="shared" si="7"/>
        <v>6.5928163917783333E-3</v>
      </c>
      <c r="F29">
        <f t="shared" si="8"/>
        <v>0.99340718360822167</v>
      </c>
      <c r="G29" s="7">
        <f t="shared" si="13"/>
        <v>93576.413479540715</v>
      </c>
      <c r="H29" s="7">
        <f t="shared" si="9"/>
        <v>616.93211267174047</v>
      </c>
      <c r="I29">
        <f t="shared" si="10"/>
        <v>466339.73711602419</v>
      </c>
      <c r="J29">
        <f t="shared" si="11"/>
        <v>5010130.1837314768</v>
      </c>
      <c r="K29">
        <f t="shared" si="12"/>
        <v>53.540523700738731</v>
      </c>
    </row>
    <row r="30" spans="1:15" x14ac:dyDescent="0.4">
      <c r="A30" t="s">
        <v>11</v>
      </c>
      <c r="B30">
        <f t="shared" si="14"/>
        <v>20</v>
      </c>
      <c r="C30">
        <v>5</v>
      </c>
      <c r="D30">
        <v>2.0106360000000001E-3</v>
      </c>
      <c r="E30">
        <f t="shared" si="7"/>
        <v>1.0002815701029455E-2</v>
      </c>
      <c r="F30">
        <f t="shared" si="8"/>
        <v>0.98999718429897055</v>
      </c>
      <c r="G30" s="7">
        <f t="shared" si="13"/>
        <v>92959.481366868975</v>
      </c>
      <c r="H30" s="7">
        <f t="shared" si="9"/>
        <v>929.8565597760753</v>
      </c>
      <c r="I30">
        <f t="shared" si="10"/>
        <v>462472.76543490472</v>
      </c>
      <c r="J30">
        <f t="shared" si="11"/>
        <v>4921010.8091017995</v>
      </c>
      <c r="K30">
        <f t="shared" si="12"/>
        <v>52.937158606563202</v>
      </c>
    </row>
    <row r="31" spans="1:15" x14ac:dyDescent="0.4">
      <c r="A31" t="s">
        <v>12</v>
      </c>
      <c r="B31">
        <f t="shared" si="14"/>
        <v>25</v>
      </c>
      <c r="C31">
        <v>5</v>
      </c>
      <c r="D31">
        <v>2.486303E-3</v>
      </c>
      <c r="E31">
        <f t="shared" si="7"/>
        <v>1.2354562924432488E-2</v>
      </c>
      <c r="F31">
        <f t="shared" si="8"/>
        <v>0.98764543707556751</v>
      </c>
      <c r="G31" s="7">
        <f t="shared" si="13"/>
        <v>92029.6248070929</v>
      </c>
      <c r="H31" s="7">
        <f t="shared" si="9"/>
        <v>1136.9857905911485</v>
      </c>
      <c r="I31">
        <f t="shared" si="10"/>
        <v>457305.65955898666</v>
      </c>
      <c r="J31">
        <f t="shared" si="11"/>
        <v>4926056.269540309</v>
      </c>
      <c r="K31">
        <f t="shared" si="12"/>
        <v>53.526853769816178</v>
      </c>
    </row>
    <row r="32" spans="1:15" x14ac:dyDescent="0.4">
      <c r="A32" t="s">
        <v>13</v>
      </c>
      <c r="B32">
        <f t="shared" si="14"/>
        <v>30</v>
      </c>
      <c r="C32">
        <v>5</v>
      </c>
      <c r="D32">
        <v>3.1067130000000001E-3</v>
      </c>
      <c r="E32">
        <f t="shared" si="7"/>
        <v>1.5413541447376611E-2</v>
      </c>
      <c r="F32">
        <f t="shared" si="8"/>
        <v>0.98458645855262339</v>
      </c>
      <c r="G32" s="7">
        <f t="shared" si="13"/>
        <v>90892.639016501751</v>
      </c>
      <c r="H32" s="7">
        <f t="shared" si="9"/>
        <v>1400.9774587422871</v>
      </c>
      <c r="I32">
        <f t="shared" si="10"/>
        <v>450960.75143565307</v>
      </c>
      <c r="J32">
        <f t="shared" si="11"/>
        <v>4935269.8234646413</v>
      </c>
      <c r="K32">
        <f t="shared" si="12"/>
        <v>54.297794374400688</v>
      </c>
    </row>
    <row r="33" spans="1:11" x14ac:dyDescent="0.4">
      <c r="A33" t="s">
        <v>14</v>
      </c>
      <c r="B33">
        <f t="shared" si="14"/>
        <v>35</v>
      </c>
      <c r="C33">
        <v>5</v>
      </c>
      <c r="D33">
        <v>4.3716969999999999E-3</v>
      </c>
      <c r="E33">
        <f t="shared" si="7"/>
        <v>2.1621319486102908E-2</v>
      </c>
      <c r="F33">
        <f t="shared" si="8"/>
        <v>0.97837868051389709</v>
      </c>
      <c r="G33" s="7">
        <f t="shared" si="13"/>
        <v>89491.661557759464</v>
      </c>
      <c r="H33" s="7">
        <f t="shared" si="9"/>
        <v>1934.9278058825148</v>
      </c>
      <c r="I33">
        <f t="shared" si="10"/>
        <v>442620.98827409104</v>
      </c>
      <c r="J33">
        <f t="shared" si="11"/>
        <v>4948685.1418134104</v>
      </c>
      <c r="K33">
        <f t="shared" si="12"/>
        <v>55.29772333726806</v>
      </c>
    </row>
    <row r="34" spans="1:11" x14ac:dyDescent="0.4">
      <c r="A34" t="s">
        <v>15</v>
      </c>
      <c r="B34">
        <f t="shared" si="14"/>
        <v>40</v>
      </c>
      <c r="C34">
        <v>5</v>
      </c>
      <c r="D34">
        <v>6.4829149999999997E-3</v>
      </c>
      <c r="E34">
        <f t="shared" si="7"/>
        <v>3.1894853318778171E-2</v>
      </c>
      <c r="F34">
        <f t="shared" si="8"/>
        <v>0.96810514668122183</v>
      </c>
      <c r="G34" s="7">
        <f t="shared" si="13"/>
        <v>87556.733751876949</v>
      </c>
      <c r="H34" s="7">
        <f t="shared" si="9"/>
        <v>2792.6091800874274</v>
      </c>
      <c r="I34">
        <f t="shared" si="10"/>
        <v>430802.14580916619</v>
      </c>
      <c r="J34">
        <f t="shared" si="11"/>
        <v>4966196.6635021931</v>
      </c>
      <c r="K34">
        <f t="shared" si="12"/>
        <v>56.719757015784445</v>
      </c>
    </row>
    <row r="35" spans="1:11" x14ac:dyDescent="0.4">
      <c r="A35" t="s">
        <v>16</v>
      </c>
      <c r="B35">
        <f t="shared" si="14"/>
        <v>45</v>
      </c>
      <c r="C35">
        <v>5</v>
      </c>
      <c r="D35">
        <v>9.4458200000000006E-3</v>
      </c>
      <c r="E35">
        <f t="shared" si="7"/>
        <v>4.6131158795826854E-2</v>
      </c>
      <c r="F35">
        <f t="shared" si="8"/>
        <v>0.95386884120417315</v>
      </c>
      <c r="G35" s="7">
        <f t="shared" si="13"/>
        <v>84764.124571789522</v>
      </c>
      <c r="H35" s="7">
        <f t="shared" si="9"/>
        <v>3910.2672908104723</v>
      </c>
      <c r="I35">
        <f t="shared" si="10"/>
        <v>414044.95463192143</v>
      </c>
      <c r="J35">
        <f t="shared" si="11"/>
        <v>4990078.0561101921</v>
      </c>
      <c r="K35">
        <f t="shared" si="12"/>
        <v>58.870165666418593</v>
      </c>
    </row>
    <row r="36" spans="1:11" x14ac:dyDescent="0.4">
      <c r="A36" t="s">
        <v>17</v>
      </c>
      <c r="B36">
        <f t="shared" si="14"/>
        <v>50</v>
      </c>
      <c r="C36">
        <v>5</v>
      </c>
      <c r="D36">
        <v>1.4107692E-2</v>
      </c>
      <c r="E36">
        <f t="shared" si="7"/>
        <v>6.810810172583015E-2</v>
      </c>
      <c r="F36">
        <f t="shared" si="8"/>
        <v>0.93189189827416985</v>
      </c>
      <c r="G36" s="7">
        <f t="shared" si="13"/>
        <v>80853.857280979049</v>
      </c>
      <c r="H36" s="7">
        <f t="shared" si="9"/>
        <v>5506.8027366186725</v>
      </c>
      <c r="I36">
        <f t="shared" si="10"/>
        <v>390502.27956334857</v>
      </c>
      <c r="J36">
        <f t="shared" si="11"/>
        <v>5024383.2773698857</v>
      </c>
      <c r="K36">
        <f t="shared" si="12"/>
        <v>62.141540877999361</v>
      </c>
    </row>
    <row r="37" spans="1:11" x14ac:dyDescent="0.4">
      <c r="A37" t="s">
        <v>18</v>
      </c>
      <c r="B37">
        <f t="shared" si="14"/>
        <v>55</v>
      </c>
      <c r="C37">
        <v>5</v>
      </c>
      <c r="D37">
        <v>2.0835200000000002E-2</v>
      </c>
      <c r="E37">
        <f t="shared" si="7"/>
        <v>9.8933304273782774E-2</v>
      </c>
      <c r="F37">
        <f t="shared" si="8"/>
        <v>0.90106669572621723</v>
      </c>
      <c r="G37" s="7">
        <f t="shared" si="13"/>
        <v>75347.054544360377</v>
      </c>
      <c r="H37" s="7">
        <f t="shared" si="9"/>
        <v>7454.3330733705079</v>
      </c>
      <c r="I37">
        <f t="shared" si="10"/>
        <v>358099.44003837561</v>
      </c>
      <c r="J37">
        <f t="shared" si="11"/>
        <v>5074301.7111252174</v>
      </c>
      <c r="K37">
        <f t="shared" si="12"/>
        <v>67.345720968266065</v>
      </c>
    </row>
    <row r="38" spans="1:11" x14ac:dyDescent="0.4">
      <c r="A38" t="s">
        <v>19</v>
      </c>
      <c r="B38">
        <f t="shared" si="14"/>
        <v>60</v>
      </c>
      <c r="C38">
        <v>5</v>
      </c>
      <c r="D38">
        <v>3.0681915000000001E-2</v>
      </c>
      <c r="E38">
        <f t="shared" si="7"/>
        <v>0.14222167470289115</v>
      </c>
      <c r="F38">
        <f t="shared" si="8"/>
        <v>0.85777832529710885</v>
      </c>
      <c r="G38" s="7">
        <f t="shared" si="13"/>
        <v>67892.721470989869</v>
      </c>
      <c r="H38" s="7">
        <f t="shared" si="9"/>
        <v>9655.8165477411167</v>
      </c>
      <c r="I38">
        <f t="shared" si="10"/>
        <v>315324.06598559651</v>
      </c>
      <c r="J38">
        <f t="shared" si="11"/>
        <v>5145591.5019697929</v>
      </c>
      <c r="K38">
        <f t="shared" si="12"/>
        <v>75.790031545111532</v>
      </c>
    </row>
    <row r="39" spans="1:11" x14ac:dyDescent="0.4">
      <c r="A39" t="s">
        <v>20</v>
      </c>
      <c r="B39">
        <f t="shared" si="14"/>
        <v>65</v>
      </c>
      <c r="C39">
        <v>5</v>
      </c>
      <c r="D39">
        <v>4.3881399000000001E-2</v>
      </c>
      <c r="E39">
        <f t="shared" si="7"/>
        <v>0.19700516324499384</v>
      </c>
      <c r="F39">
        <f t="shared" si="8"/>
        <v>0.80299483675500616</v>
      </c>
      <c r="G39" s="7">
        <f t="shared" si="13"/>
        <v>58236.904923248752</v>
      </c>
      <c r="H39" s="7">
        <f t="shared" si="9"/>
        <v>11472.970961287807</v>
      </c>
      <c r="I39">
        <f t="shared" si="10"/>
        <v>262502.09721302427</v>
      </c>
      <c r="J39">
        <f t="shared" si="11"/>
        <v>5243985.2509837877</v>
      </c>
      <c r="K39">
        <f t="shared" si="12"/>
        <v>90.045740890504234</v>
      </c>
    </row>
    <row r="40" spans="1:11" x14ac:dyDescent="0.4">
      <c r="A40" t="s">
        <v>21</v>
      </c>
      <c r="B40">
        <f t="shared" si="14"/>
        <v>70</v>
      </c>
      <c r="C40">
        <v>5</v>
      </c>
      <c r="D40">
        <v>6.4737070999999993E-2</v>
      </c>
      <c r="E40">
        <f t="shared" si="7"/>
        <v>0.276522154742468</v>
      </c>
      <c r="F40">
        <f t="shared" si="8"/>
        <v>0.723477845257532</v>
      </c>
      <c r="G40" s="7">
        <f t="shared" si="13"/>
        <v>46763.933961960945</v>
      </c>
      <c r="H40" s="7">
        <f t="shared" si="9"/>
        <v>12931.263783395916</v>
      </c>
      <c r="I40">
        <f t="shared" si="10"/>
        <v>201491.51035131494</v>
      </c>
      <c r="J40">
        <f t="shared" si="11"/>
        <v>5372952.8398845121</v>
      </c>
      <c r="K40">
        <f t="shared" si="12"/>
        <v>114.89522768240623</v>
      </c>
    </row>
    <row r="41" spans="1:11" x14ac:dyDescent="0.4">
      <c r="A41" t="s">
        <v>22</v>
      </c>
      <c r="B41">
        <f t="shared" si="14"/>
        <v>75</v>
      </c>
      <c r="C41">
        <v>5</v>
      </c>
      <c r="D41">
        <v>9.4998040000000006E-2</v>
      </c>
      <c r="E41">
        <f t="shared" si="7"/>
        <v>0.37810884903156361</v>
      </c>
      <c r="F41">
        <f t="shared" si="8"/>
        <v>0.62189115096843639</v>
      </c>
      <c r="G41" s="7">
        <f t="shared" si="13"/>
        <v>33832.670178565029</v>
      </c>
      <c r="H41" s="7">
        <f t="shared" si="9"/>
        <v>12792.431980881727</v>
      </c>
      <c r="I41">
        <f t="shared" si="10"/>
        <v>137182.27094062083</v>
      </c>
      <c r="J41">
        <f t="shared" si="11"/>
        <v>5532014.7905067503</v>
      </c>
      <c r="K41">
        <f t="shared" si="12"/>
        <v>163.51103124020062</v>
      </c>
    </row>
    <row r="42" spans="1:11" x14ac:dyDescent="0.4">
      <c r="A42" t="s">
        <v>23</v>
      </c>
      <c r="B42">
        <f t="shared" si="14"/>
        <v>80</v>
      </c>
      <c r="C42">
        <v>5</v>
      </c>
      <c r="D42">
        <v>0.1405178</v>
      </c>
      <c r="E42">
        <f t="shared" si="7"/>
        <v>0.50469869270942569</v>
      </c>
      <c r="F42">
        <f t="shared" si="8"/>
        <v>0.49530130729057431</v>
      </c>
      <c r="G42" s="7">
        <f t="shared" si="13"/>
        <v>21040.238197683302</v>
      </c>
      <c r="H42" s="7">
        <f t="shared" si="9"/>
        <v>10618.980712665685</v>
      </c>
      <c r="I42">
        <f t="shared" si="10"/>
        <v>78653.739206752303</v>
      </c>
      <c r="J42">
        <f t="shared" si="11"/>
        <v>5713672.6483630016</v>
      </c>
      <c r="K42">
        <f t="shared" si="12"/>
        <v>271.55931385758373</v>
      </c>
    </row>
    <row r="43" spans="1:11" x14ac:dyDescent="0.4">
      <c r="A43" t="s">
        <v>24</v>
      </c>
      <c r="B43">
        <f t="shared" si="14"/>
        <v>85</v>
      </c>
      <c r="C43" t="s">
        <v>41</v>
      </c>
      <c r="D43">
        <v>0.23508720599999999</v>
      </c>
      <c r="E43">
        <v>1</v>
      </c>
      <c r="F43">
        <f t="shared" si="8"/>
        <v>0</v>
      </c>
      <c r="G43" s="7">
        <f t="shared" si="13"/>
        <v>10421.257485017617</v>
      </c>
      <c r="H43" s="7">
        <f t="shared" si="9"/>
        <v>10421.257485017617</v>
      </c>
      <c r="I43">
        <f>G43/D43</f>
        <v>44329.326390554903</v>
      </c>
      <c r="J43">
        <f t="shared" si="11"/>
        <v>5901090.0263518579</v>
      </c>
      <c r="K43">
        <f t="shared" si="12"/>
        <v>566.25508340387023</v>
      </c>
    </row>
    <row r="46" spans="1:11" x14ac:dyDescent="0.4">
      <c r="A46" t="s">
        <v>1</v>
      </c>
      <c r="B46" t="s">
        <v>39</v>
      </c>
      <c r="C46" t="s">
        <v>40</v>
      </c>
      <c r="D46" s="2" t="s">
        <v>56</v>
      </c>
      <c r="E46" s="2" t="s">
        <v>45</v>
      </c>
      <c r="F46" s="2" t="s">
        <v>48</v>
      </c>
      <c r="G46" s="2" t="s">
        <v>49</v>
      </c>
      <c r="H46" s="2" t="s">
        <v>50</v>
      </c>
      <c r="I46" s="2" t="s">
        <v>51</v>
      </c>
      <c r="J46" s="2" t="s">
        <v>52</v>
      </c>
      <c r="K46" s="2" t="s">
        <v>53</v>
      </c>
    </row>
    <row r="47" spans="1:11" x14ac:dyDescent="0.4">
      <c r="A47" t="s">
        <v>6</v>
      </c>
      <c r="B47">
        <v>0</v>
      </c>
      <c r="C47">
        <v>1</v>
      </c>
      <c r="D47">
        <v>5.1325889E-2</v>
      </c>
      <c r="E47">
        <f>1-EXP(-C47*D47)</f>
        <v>5.0030964377188347E-2</v>
      </c>
      <c r="F47">
        <f>1-E47</f>
        <v>0.94996903562281165</v>
      </c>
      <c r="G47" s="7">
        <v>100000</v>
      </c>
      <c r="H47" s="7">
        <f>G47-G48</f>
        <v>5003.0964377188357</v>
      </c>
      <c r="I47">
        <f>1/2*(G47+G48)*C47</f>
        <v>97498.451781140582</v>
      </c>
      <c r="J47">
        <f>SUM(I47:I65)</f>
        <v>6333758.7205234356</v>
      </c>
      <c r="K47">
        <f>J47/G47</f>
        <v>63.337587205234357</v>
      </c>
    </row>
    <row r="48" spans="1:11" x14ac:dyDescent="0.4">
      <c r="A48" t="s">
        <v>7</v>
      </c>
      <c r="B48">
        <v>1</v>
      </c>
      <c r="C48">
        <v>4</v>
      </c>
      <c r="D48">
        <v>3.668017E-3</v>
      </c>
      <c r="E48">
        <f t="shared" ref="E48:E64" si="15">1-EXP(-C48*D48)</f>
        <v>1.4564957693397051E-2</v>
      </c>
      <c r="F48">
        <f t="shared" ref="F48:F65" si="16">1-E48</f>
        <v>0.98543504230660295</v>
      </c>
      <c r="G48" s="7">
        <f>G47*F47</f>
        <v>94996.903562281164</v>
      </c>
      <c r="H48" s="7">
        <f t="shared" ref="H48:H65" si="17">G48-G49</f>
        <v>1383.6258813883469</v>
      </c>
      <c r="I48">
        <f t="shared" ref="I48:I64" si="18">1/2*(G48+G49)*C48</f>
        <v>377220.36248634796</v>
      </c>
      <c r="J48">
        <f t="shared" ref="J48:J65" si="19">SUM(I48:I66)</f>
        <v>6236260.268742295</v>
      </c>
      <c r="K48">
        <f t="shared" ref="K48:K65" si="20">J48/G48</f>
        <v>65.646984637280568</v>
      </c>
    </row>
    <row r="49" spans="1:11" x14ac:dyDescent="0.4">
      <c r="A49" t="s">
        <v>8</v>
      </c>
      <c r="B49">
        <v>5</v>
      </c>
      <c r="C49">
        <v>5</v>
      </c>
      <c r="D49">
        <v>4.6899799999999998E-4</v>
      </c>
      <c r="E49">
        <f t="shared" si="15"/>
        <v>2.3422426588654011E-3</v>
      </c>
      <c r="F49">
        <f t="shared" si="16"/>
        <v>0.9976577573411346</v>
      </c>
      <c r="G49" s="7">
        <f t="shared" ref="G49:G65" si="21">G48*F48</f>
        <v>93613.277680892817</v>
      </c>
      <c r="H49" s="7">
        <f t="shared" si="17"/>
        <v>219.26501242039376</v>
      </c>
      <c r="I49">
        <f t="shared" si="18"/>
        <v>467518.22587341309</v>
      </c>
      <c r="J49">
        <f t="shared" si="19"/>
        <v>5859039.9062559474</v>
      </c>
      <c r="K49">
        <f t="shared" si="20"/>
        <v>62.587701781238046</v>
      </c>
    </row>
    <row r="50" spans="1:11" x14ac:dyDescent="0.4">
      <c r="A50" t="s">
        <v>9</v>
      </c>
      <c r="B50">
        <f>B49+5</f>
        <v>10</v>
      </c>
      <c r="C50">
        <v>5</v>
      </c>
      <c r="D50">
        <v>3.8656500000000001E-4</v>
      </c>
      <c r="E50">
        <f t="shared" si="15"/>
        <v>1.9309582966237082E-3</v>
      </c>
      <c r="F50">
        <f t="shared" si="16"/>
        <v>0.99806904170337629</v>
      </c>
      <c r="G50" s="7">
        <f t="shared" si="21"/>
        <v>93394.012668472424</v>
      </c>
      <c r="H50" s="7">
        <f t="shared" si="17"/>
        <v>180.33994361716032</v>
      </c>
      <c r="I50">
        <f t="shared" si="18"/>
        <v>466519.21348331915</v>
      </c>
      <c r="J50">
        <f t="shared" si="19"/>
        <v>5391521.6803825339</v>
      </c>
      <c r="K50">
        <f t="shared" si="20"/>
        <v>57.728772180730836</v>
      </c>
    </row>
    <row r="51" spans="1:11" x14ac:dyDescent="0.4">
      <c r="A51" t="s">
        <v>10</v>
      </c>
      <c r="B51">
        <f t="shared" ref="B51:B65" si="22">B50+5</f>
        <v>15</v>
      </c>
      <c r="C51">
        <v>5</v>
      </c>
      <c r="D51">
        <v>1.457699E-3</v>
      </c>
      <c r="E51">
        <f t="shared" si="15"/>
        <v>7.2619983330056703E-3</v>
      </c>
      <c r="F51">
        <f t="shared" si="16"/>
        <v>0.99273800166699433</v>
      </c>
      <c r="G51" s="7">
        <f t="shared" si="21"/>
        <v>93213.672724855263</v>
      </c>
      <c r="H51" s="7">
        <f t="shared" si="17"/>
        <v>676.91753594123293</v>
      </c>
      <c r="I51">
        <f t="shared" si="18"/>
        <v>464376.06978442322</v>
      </c>
      <c r="J51">
        <f t="shared" si="19"/>
        <v>5022845.1774844732</v>
      </c>
      <c r="K51">
        <f t="shared" si="20"/>
        <v>53.885283463840388</v>
      </c>
    </row>
    <row r="52" spans="1:11" x14ac:dyDescent="0.4">
      <c r="A52" t="s">
        <v>11</v>
      </c>
      <c r="B52">
        <f t="shared" si="22"/>
        <v>20</v>
      </c>
      <c r="C52">
        <v>5</v>
      </c>
      <c r="D52">
        <v>2.2178760000000001E-3</v>
      </c>
      <c r="E52">
        <f t="shared" si="15"/>
        <v>1.1028119481771292E-2</v>
      </c>
      <c r="F52">
        <f t="shared" si="16"/>
        <v>0.98897188051822871</v>
      </c>
      <c r="G52" s="7">
        <f t="shared" si="21"/>
        <v>92536.75518891403</v>
      </c>
      <c r="H52" s="7">
        <f t="shared" si="17"/>
        <v>1020.5063926787698</v>
      </c>
      <c r="I52">
        <f t="shared" si="18"/>
        <v>460132.50996287324</v>
      </c>
      <c r="J52">
        <f t="shared" si="19"/>
        <v>4938515.5806651386</v>
      </c>
      <c r="K52">
        <f t="shared" si="20"/>
        <v>53.368151612655382</v>
      </c>
    </row>
    <row r="53" spans="1:11" x14ac:dyDescent="0.4">
      <c r="A53" t="s">
        <v>12</v>
      </c>
      <c r="B53">
        <f t="shared" si="22"/>
        <v>25</v>
      </c>
      <c r="C53">
        <v>5</v>
      </c>
      <c r="D53">
        <v>2.5492409999999998E-3</v>
      </c>
      <c r="E53">
        <f t="shared" si="15"/>
        <v>1.2665316168992136E-2</v>
      </c>
      <c r="F53">
        <f t="shared" si="16"/>
        <v>0.98733468383100786</v>
      </c>
      <c r="G53" s="7">
        <f t="shared" si="21"/>
        <v>91516.248796235261</v>
      </c>
      <c r="H53" s="7">
        <f t="shared" si="17"/>
        <v>1159.082225604463</v>
      </c>
      <c r="I53">
        <f t="shared" si="18"/>
        <v>454683.53841716511</v>
      </c>
      <c r="J53">
        <f t="shared" si="19"/>
        <v>4949538.1026854571</v>
      </c>
      <c r="K53">
        <f t="shared" si="20"/>
        <v>54.083708279016221</v>
      </c>
    </row>
    <row r="54" spans="1:11" x14ac:dyDescent="0.4">
      <c r="A54" t="s">
        <v>13</v>
      </c>
      <c r="B54">
        <f t="shared" si="22"/>
        <v>30</v>
      </c>
      <c r="C54">
        <v>5</v>
      </c>
      <c r="D54">
        <v>3.065215E-3</v>
      </c>
      <c r="E54">
        <f t="shared" si="15"/>
        <v>1.5209228407368269E-2</v>
      </c>
      <c r="F54">
        <f t="shared" si="16"/>
        <v>0.98479077159263173</v>
      </c>
      <c r="G54" s="7">
        <f t="shared" si="21"/>
        <v>90357.166570630798</v>
      </c>
      <c r="H54" s="7">
        <f t="shared" si="17"/>
        <v>1374.2627846153482</v>
      </c>
      <c r="I54">
        <f t="shared" si="18"/>
        <v>448350.17589161568</v>
      </c>
      <c r="J54">
        <f t="shared" si="19"/>
        <v>4965061.8551781159</v>
      </c>
      <c r="K54">
        <f t="shared" si="20"/>
        <v>54.949286743038847</v>
      </c>
    </row>
    <row r="55" spans="1:11" x14ac:dyDescent="0.4">
      <c r="A55" t="s">
        <v>14</v>
      </c>
      <c r="B55">
        <f t="shared" si="22"/>
        <v>35</v>
      </c>
      <c r="C55">
        <v>5</v>
      </c>
      <c r="D55">
        <v>4.0815169999999998E-3</v>
      </c>
      <c r="E55">
        <f t="shared" si="15"/>
        <v>2.020075956255174E-2</v>
      </c>
      <c r="F55">
        <f t="shared" si="16"/>
        <v>0.97979924043744826</v>
      </c>
      <c r="G55" s="7">
        <f t="shared" si="21"/>
        <v>88982.903786015449</v>
      </c>
      <c r="H55" s="7">
        <f t="shared" si="17"/>
        <v>1797.5222445589752</v>
      </c>
      <c r="I55">
        <f t="shared" si="18"/>
        <v>440420.71331867977</v>
      </c>
      <c r="J55">
        <f t="shared" si="19"/>
        <v>4985122.8056027414</v>
      </c>
      <c r="K55">
        <f t="shared" si="20"/>
        <v>56.023377452267447</v>
      </c>
    </row>
    <row r="56" spans="1:11" x14ac:dyDescent="0.4">
      <c r="A56" t="s">
        <v>15</v>
      </c>
      <c r="B56">
        <f t="shared" si="22"/>
        <v>40</v>
      </c>
      <c r="C56">
        <v>5</v>
      </c>
      <c r="D56">
        <v>6.0906809999999997E-3</v>
      </c>
      <c r="E56">
        <f t="shared" si="15"/>
        <v>2.9994371573503265E-2</v>
      </c>
      <c r="F56">
        <f t="shared" si="16"/>
        <v>0.97000562842649674</v>
      </c>
      <c r="G56" s="7">
        <f t="shared" si="21"/>
        <v>87185.381541456474</v>
      </c>
      <c r="H56" s="7">
        <f t="shared" si="17"/>
        <v>2615.0707297320914</v>
      </c>
      <c r="I56">
        <f t="shared" si="18"/>
        <v>429389.23088295211</v>
      </c>
      <c r="J56">
        <f t="shared" si="19"/>
        <v>5009648.4926714413</v>
      </c>
      <c r="K56">
        <f t="shared" si="20"/>
        <v>57.459730107269912</v>
      </c>
    </row>
    <row r="57" spans="1:11" x14ac:dyDescent="0.4">
      <c r="A57" t="s">
        <v>16</v>
      </c>
      <c r="B57">
        <f t="shared" si="22"/>
        <v>45</v>
      </c>
      <c r="C57">
        <v>5</v>
      </c>
      <c r="D57">
        <v>8.8323229999999996E-3</v>
      </c>
      <c r="E57">
        <f t="shared" si="15"/>
        <v>4.3200688143928079E-2</v>
      </c>
      <c r="F57">
        <f t="shared" si="16"/>
        <v>0.95679931185607192</v>
      </c>
      <c r="G57" s="7">
        <f t="shared" si="21"/>
        <v>84570.310811724383</v>
      </c>
      <c r="H57" s="7">
        <f t="shared" si="17"/>
        <v>3653.4956236123689</v>
      </c>
      <c r="I57">
        <f t="shared" si="18"/>
        <v>413717.81499959098</v>
      </c>
      <c r="J57">
        <f t="shared" si="19"/>
        <v>5040342.0411411831</v>
      </c>
      <c r="K57">
        <f t="shared" si="20"/>
        <v>59.599426710897419</v>
      </c>
    </row>
    <row r="58" spans="1:11" x14ac:dyDescent="0.4">
      <c r="A58" t="s">
        <v>17</v>
      </c>
      <c r="B58">
        <f t="shared" si="22"/>
        <v>50</v>
      </c>
      <c r="C58">
        <v>5</v>
      </c>
      <c r="D58">
        <v>1.3405175E-2</v>
      </c>
      <c r="E58">
        <f t="shared" si="15"/>
        <v>6.4828996525996829E-2</v>
      </c>
      <c r="F58">
        <f t="shared" si="16"/>
        <v>0.93517100347400317</v>
      </c>
      <c r="G58" s="7">
        <f t="shared" si="21"/>
        <v>80916.815188112014</v>
      </c>
      <c r="H58" s="7">
        <f t="shared" si="17"/>
        <v>5245.7559307248448</v>
      </c>
      <c r="I58">
        <f t="shared" si="18"/>
        <v>391469.68611374794</v>
      </c>
      <c r="J58">
        <f t="shared" si="19"/>
        <v>5080349.7838366218</v>
      </c>
      <c r="K58">
        <f t="shared" si="20"/>
        <v>62.784846042519568</v>
      </c>
    </row>
    <row r="59" spans="1:11" x14ac:dyDescent="0.4">
      <c r="A59" t="s">
        <v>18</v>
      </c>
      <c r="B59">
        <f t="shared" si="22"/>
        <v>55</v>
      </c>
      <c r="C59">
        <v>5</v>
      </c>
      <c r="D59">
        <v>1.9765525999999999E-2</v>
      </c>
      <c r="E59">
        <f t="shared" si="15"/>
        <v>9.4101155649646717E-2</v>
      </c>
      <c r="F59">
        <f t="shared" si="16"/>
        <v>0.90589884435035328</v>
      </c>
      <c r="G59" s="7">
        <f t="shared" si="21"/>
        <v>75671.059257387169</v>
      </c>
      <c r="H59" s="7">
        <f t="shared" si="17"/>
        <v>7120.7341253530321</v>
      </c>
      <c r="I59">
        <f t="shared" si="18"/>
        <v>360553.4609735533</v>
      </c>
      <c r="J59">
        <f t="shared" si="19"/>
        <v>5133817.7245686846</v>
      </c>
      <c r="K59">
        <f t="shared" si="20"/>
        <v>67.843872874919626</v>
      </c>
    </row>
    <row r="60" spans="1:11" x14ac:dyDescent="0.4">
      <c r="A60" t="s">
        <v>19</v>
      </c>
      <c r="B60">
        <f t="shared" si="22"/>
        <v>60</v>
      </c>
      <c r="C60">
        <v>5</v>
      </c>
      <c r="D60">
        <v>3.0054531999999998E-2</v>
      </c>
      <c r="E60">
        <f t="shared" si="15"/>
        <v>0.13952667222069071</v>
      </c>
      <c r="F60">
        <f t="shared" si="16"/>
        <v>0.86047332777930929</v>
      </c>
      <c r="G60" s="7">
        <f t="shared" si="21"/>
        <v>68550.325132034137</v>
      </c>
      <c r="H60" s="7">
        <f t="shared" si="17"/>
        <v>9564.5987453191046</v>
      </c>
      <c r="I60">
        <f t="shared" si="18"/>
        <v>318840.12879687292</v>
      </c>
      <c r="J60">
        <f t="shared" si="19"/>
        <v>5205518.6336629819</v>
      </c>
      <c r="K60">
        <f t="shared" si="20"/>
        <v>75.937183720670632</v>
      </c>
    </row>
    <row r="61" spans="1:11" x14ac:dyDescent="0.4">
      <c r="A61" t="s">
        <v>20</v>
      </c>
      <c r="B61">
        <f t="shared" si="22"/>
        <v>65</v>
      </c>
      <c r="C61">
        <v>5</v>
      </c>
      <c r="D61">
        <v>4.3554478000000001E-2</v>
      </c>
      <c r="E61">
        <f t="shared" si="15"/>
        <v>0.19569151051069544</v>
      </c>
      <c r="F61">
        <f t="shared" si="16"/>
        <v>0.80430848948930456</v>
      </c>
      <c r="G61" s="7">
        <f t="shared" si="21"/>
        <v>58985.726386715032</v>
      </c>
      <c r="H61" s="7">
        <f t="shared" si="17"/>
        <v>11543.005895186849</v>
      </c>
      <c r="I61">
        <f t="shared" si="18"/>
        <v>266071.11719560804</v>
      </c>
      <c r="J61">
        <f t="shared" si="19"/>
        <v>5300996.3103793925</v>
      </c>
      <c r="K61">
        <f t="shared" si="20"/>
        <v>89.869136740397948</v>
      </c>
    </row>
    <row r="62" spans="1:11" x14ac:dyDescent="0.4">
      <c r="A62" t="s">
        <v>21</v>
      </c>
      <c r="B62">
        <f t="shared" si="22"/>
        <v>70</v>
      </c>
      <c r="C62">
        <v>5</v>
      </c>
      <c r="D62">
        <v>6.3182848999999999E-2</v>
      </c>
      <c r="E62">
        <f t="shared" si="15"/>
        <v>0.27087802665842797</v>
      </c>
      <c r="F62">
        <f t="shared" si="16"/>
        <v>0.72912197334157203</v>
      </c>
      <c r="G62" s="7">
        <f t="shared" si="21"/>
        <v>47442.720491528184</v>
      </c>
      <c r="H62" s="7">
        <f t="shared" si="17"/>
        <v>12851.190506052517</v>
      </c>
      <c r="I62">
        <f t="shared" si="18"/>
        <v>205085.62619250963</v>
      </c>
      <c r="J62">
        <f t="shared" si="19"/>
        <v>5424330.8244442325</v>
      </c>
      <c r="K62">
        <f t="shared" si="20"/>
        <v>114.33431237175473</v>
      </c>
    </row>
    <row r="63" spans="1:11" x14ac:dyDescent="0.4">
      <c r="A63" t="s">
        <v>22</v>
      </c>
      <c r="B63">
        <f t="shared" si="22"/>
        <v>75</v>
      </c>
      <c r="C63">
        <v>5</v>
      </c>
      <c r="D63">
        <v>9.1218707999999996E-2</v>
      </c>
      <c r="E63">
        <f t="shared" si="15"/>
        <v>0.36624544707500917</v>
      </c>
      <c r="F63">
        <f t="shared" si="16"/>
        <v>0.63375455292499083</v>
      </c>
      <c r="G63" s="7">
        <f t="shared" si="21"/>
        <v>34591.529985475667</v>
      </c>
      <c r="H63" s="7">
        <f t="shared" si="17"/>
        <v>12668.99036453912</v>
      </c>
      <c r="I63">
        <f t="shared" si="18"/>
        <v>141285.17401603053</v>
      </c>
      <c r="J63">
        <f t="shared" si="19"/>
        <v>5574721.754558593</v>
      </c>
      <c r="K63">
        <f t="shared" si="20"/>
        <v>161.15857716901547</v>
      </c>
    </row>
    <row r="64" spans="1:11" x14ac:dyDescent="0.4">
      <c r="A64" t="s">
        <v>23</v>
      </c>
      <c r="B64">
        <f t="shared" si="22"/>
        <v>80</v>
      </c>
      <c r="C64">
        <v>5</v>
      </c>
      <c r="D64">
        <v>0.13520686700000001</v>
      </c>
      <c r="E64">
        <f t="shared" si="15"/>
        <v>0.49136994543242329</v>
      </c>
      <c r="F64">
        <f t="shared" si="16"/>
        <v>0.50863005456757671</v>
      </c>
      <c r="G64" s="7">
        <f t="shared" si="21"/>
        <v>21922.539620936546</v>
      </c>
      <c r="H64" s="7">
        <f t="shared" si="17"/>
        <v>10772.077097279729</v>
      </c>
      <c r="I64">
        <f t="shared" si="18"/>
        <v>82682.505361483418</v>
      </c>
      <c r="J64">
        <f t="shared" si="19"/>
        <v>5745091.1697852323</v>
      </c>
      <c r="K64">
        <f t="shared" si="20"/>
        <v>262.06321298188163</v>
      </c>
    </row>
    <row r="65" spans="1:11" x14ac:dyDescent="0.4">
      <c r="A65" t="s">
        <v>24</v>
      </c>
      <c r="B65">
        <f t="shared" si="22"/>
        <v>85</v>
      </c>
      <c r="C65" t="s">
        <v>41</v>
      </c>
      <c r="D65">
        <v>0.23256916899999999</v>
      </c>
      <c r="E65">
        <v>1</v>
      </c>
      <c r="F65">
        <f t="shared" si="16"/>
        <v>0</v>
      </c>
      <c r="G65" s="7">
        <f t="shared" si="21"/>
        <v>11150.462523656817</v>
      </c>
      <c r="H65" s="7">
        <f t="shared" si="17"/>
        <v>11150.462523656817</v>
      </c>
      <c r="I65">
        <f>G65/D65</f>
        <v>47944.714992109803</v>
      </c>
      <c r="J65">
        <f t="shared" si="19"/>
        <v>5921247.2654261496</v>
      </c>
      <c r="K65">
        <f t="shared" si="20"/>
        <v>531.03153818629801</v>
      </c>
    </row>
    <row r="68" spans="1:11" x14ac:dyDescent="0.4">
      <c r="A68" t="s">
        <v>1</v>
      </c>
      <c r="B68" t="s">
        <v>39</v>
      </c>
      <c r="C68" t="s">
        <v>40</v>
      </c>
      <c r="D68" s="2" t="s">
        <v>55</v>
      </c>
      <c r="E68" s="2" t="s">
        <v>45</v>
      </c>
      <c r="F68" s="2" t="s">
        <v>48</v>
      </c>
      <c r="G68" s="2" t="s">
        <v>49</v>
      </c>
      <c r="H68" s="2" t="s">
        <v>50</v>
      </c>
      <c r="I68" s="2" t="s">
        <v>51</v>
      </c>
      <c r="J68" s="2" t="s">
        <v>52</v>
      </c>
      <c r="K68" s="2" t="s">
        <v>53</v>
      </c>
    </row>
    <row r="69" spans="1:11" x14ac:dyDescent="0.4">
      <c r="A69" t="s">
        <v>6</v>
      </c>
      <c r="B69">
        <v>0</v>
      </c>
      <c r="C69">
        <v>1</v>
      </c>
      <c r="D69">
        <v>4.4104237999999997E-2</v>
      </c>
      <c r="E69">
        <f>1-EXP(-C69*D69)</f>
        <v>4.3145788294832399E-2</v>
      </c>
      <c r="F69">
        <f>1-E69</f>
        <v>0.9568542117051676</v>
      </c>
      <c r="G69" s="7">
        <v>100000</v>
      </c>
      <c r="H69" s="7">
        <f>G69-G70</f>
        <v>4314.5788294832455</v>
      </c>
      <c r="I69">
        <f>1/2*(G69+G70)*C69</f>
        <v>97842.710585258377</v>
      </c>
      <c r="J69">
        <f>SUM(I69:I87)</f>
        <v>6321490.5809789877</v>
      </c>
      <c r="K69">
        <f>J69/G69</f>
        <v>63.214905809789876</v>
      </c>
    </row>
    <row r="70" spans="1:11" x14ac:dyDescent="0.4">
      <c r="A70" t="s">
        <v>7</v>
      </c>
      <c r="B70">
        <v>1</v>
      </c>
      <c r="C70">
        <v>4</v>
      </c>
      <c r="D70">
        <v>3.5459570000000002E-3</v>
      </c>
      <c r="E70">
        <f t="shared" ref="E70:E86" si="23">1-EXP(-C70*D70)</f>
        <v>1.4083711416059908E-2</v>
      </c>
      <c r="F70">
        <f t="shared" ref="F70:F87" si="24">1-E70</f>
        <v>0.98591628858394009</v>
      </c>
      <c r="G70" s="7">
        <f>G69*F69</f>
        <v>95685.421170516755</v>
      </c>
      <c r="H70" s="7">
        <f t="shared" ref="H70:H87" si="25">G70-G71</f>
        <v>1347.605858489711</v>
      </c>
      <c r="I70">
        <f t="shared" ref="I70:I86" si="26">1/2*(G70+G71)*C70</f>
        <v>380046.47296508763</v>
      </c>
      <c r="J70">
        <f t="shared" ref="J70:J87" si="27">SUM(I70:I88)</f>
        <v>6223647.8703937288</v>
      </c>
      <c r="K70">
        <f t="shared" ref="K70:K87" si="28">J70/G70</f>
        <v>65.042801654212724</v>
      </c>
    </row>
    <row r="71" spans="1:11" x14ac:dyDescent="0.4">
      <c r="A71" t="s">
        <v>8</v>
      </c>
      <c r="B71">
        <v>5</v>
      </c>
      <c r="C71">
        <v>5</v>
      </c>
      <c r="D71">
        <v>4.53392E-4</v>
      </c>
      <c r="E71">
        <f t="shared" si="23"/>
        <v>2.2643923867711191E-3</v>
      </c>
      <c r="F71">
        <f t="shared" si="24"/>
        <v>0.99773560761322888</v>
      </c>
      <c r="G71" s="7">
        <f t="shared" ref="G71:G87" si="29">G70*F70</f>
        <v>94337.815312027044</v>
      </c>
      <c r="H71" s="7">
        <f t="shared" si="25"/>
        <v>213.61783077717701</v>
      </c>
      <c r="I71">
        <f t="shared" si="26"/>
        <v>471155.03198319231</v>
      </c>
      <c r="J71">
        <f t="shared" si="27"/>
        <v>5843601.397428643</v>
      </c>
      <c r="K71">
        <f t="shared" si="28"/>
        <v>61.943361504616561</v>
      </c>
    </row>
    <row r="72" spans="1:11" x14ac:dyDescent="0.4">
      <c r="A72" t="s">
        <v>9</v>
      </c>
      <c r="B72">
        <f>B71+5</f>
        <v>10</v>
      </c>
      <c r="C72">
        <v>5</v>
      </c>
      <c r="D72">
        <v>3.5192699999999998E-4</v>
      </c>
      <c r="E72">
        <f t="shared" si="23"/>
        <v>1.7580877499981939E-3</v>
      </c>
      <c r="F72">
        <f t="shared" si="24"/>
        <v>0.99824191225000181</v>
      </c>
      <c r="G72" s="7">
        <f t="shared" si="29"/>
        <v>94124.197481249867</v>
      </c>
      <c r="H72" s="7">
        <f t="shared" si="25"/>
        <v>165.47859857018921</v>
      </c>
      <c r="I72">
        <f t="shared" si="26"/>
        <v>470207.29090982385</v>
      </c>
      <c r="J72">
        <f t="shared" si="27"/>
        <v>5372446.3654454499</v>
      </c>
      <c r="K72">
        <f t="shared" si="28"/>
        <v>57.078270085815873</v>
      </c>
    </row>
    <row r="73" spans="1:11" x14ac:dyDescent="0.4">
      <c r="A73" t="s">
        <v>10</v>
      </c>
      <c r="B73">
        <f t="shared" ref="B73:B87" si="30">B72+5</f>
        <v>15</v>
      </c>
      <c r="C73">
        <v>5</v>
      </c>
      <c r="D73">
        <v>1.1805629999999999E-3</v>
      </c>
      <c r="E73">
        <f t="shared" si="23"/>
        <v>5.8854276158638585E-3</v>
      </c>
      <c r="F73">
        <f t="shared" si="24"/>
        <v>0.99411457238413614</v>
      </c>
      <c r="G73" s="7">
        <f t="shared" si="29"/>
        <v>93958.718882679677</v>
      </c>
      <c r="H73" s="7">
        <f t="shared" si="25"/>
        <v>552.98723886330845</v>
      </c>
      <c r="I73">
        <f t="shared" si="26"/>
        <v>468411.12631624012</v>
      </c>
      <c r="J73">
        <f t="shared" si="27"/>
        <v>4902239.0745356251</v>
      </c>
      <c r="K73">
        <f t="shared" si="28"/>
        <v>52.174392465447959</v>
      </c>
    </row>
    <row r="74" spans="1:11" x14ac:dyDescent="0.4">
      <c r="A74" t="s">
        <v>11</v>
      </c>
      <c r="B74">
        <f t="shared" si="30"/>
        <v>20</v>
      </c>
      <c r="C74">
        <v>5</v>
      </c>
      <c r="D74">
        <v>1.791408E-3</v>
      </c>
      <c r="E74">
        <f t="shared" si="23"/>
        <v>8.9170452179181403E-3</v>
      </c>
      <c r="F74">
        <f t="shared" si="24"/>
        <v>0.99108295478208186</v>
      </c>
      <c r="G74" s="7">
        <f t="shared" si="29"/>
        <v>93405.731643816369</v>
      </c>
      <c r="H74" s="7">
        <f t="shared" si="25"/>
        <v>832.90313268064347</v>
      </c>
      <c r="I74">
        <f t="shared" si="26"/>
        <v>464946.40038738027</v>
      </c>
      <c r="J74">
        <f t="shared" si="27"/>
        <v>4433827.9482193859</v>
      </c>
      <c r="K74">
        <f t="shared" si="28"/>
        <v>47.468478327720625</v>
      </c>
    </row>
    <row r="75" spans="1:11" x14ac:dyDescent="0.4">
      <c r="A75" t="s">
        <v>12</v>
      </c>
      <c r="B75">
        <f t="shared" si="30"/>
        <v>25</v>
      </c>
      <c r="C75">
        <v>5</v>
      </c>
      <c r="D75">
        <v>2.4181710000000002E-3</v>
      </c>
      <c r="E75">
        <f t="shared" si="23"/>
        <v>1.2018054315581339E-2</v>
      </c>
      <c r="F75">
        <f t="shared" si="24"/>
        <v>0.98798194568441866</v>
      </c>
      <c r="G75" s="7">
        <f t="shared" si="29"/>
        <v>92572.828511135725</v>
      </c>
      <c r="H75" s="7">
        <f t="shared" si="25"/>
        <v>1112.5452811938303</v>
      </c>
      <c r="I75">
        <f t="shared" si="26"/>
        <v>460082.77935269405</v>
      </c>
      <c r="J75">
        <f t="shared" si="27"/>
        <v>3968881.5478320057</v>
      </c>
      <c r="K75">
        <f t="shared" si="28"/>
        <v>42.873072062982096</v>
      </c>
    </row>
    <row r="76" spans="1:11" x14ac:dyDescent="0.4">
      <c r="A76" t="s">
        <v>13</v>
      </c>
      <c r="B76">
        <f t="shared" si="30"/>
        <v>30</v>
      </c>
      <c r="C76">
        <v>5</v>
      </c>
      <c r="D76">
        <v>3.1525070000000001E-3</v>
      </c>
      <c r="E76">
        <f t="shared" si="23"/>
        <v>1.563895640117563E-2</v>
      </c>
      <c r="F76">
        <f t="shared" si="24"/>
        <v>0.98436104359882437</v>
      </c>
      <c r="G76" s="7">
        <f t="shared" si="29"/>
        <v>91460.283229941895</v>
      </c>
      <c r="H76" s="7">
        <f t="shared" si="25"/>
        <v>1430.3433818722406</v>
      </c>
      <c r="I76">
        <f t="shared" si="26"/>
        <v>453725.55769502884</v>
      </c>
      <c r="J76">
        <f t="shared" si="27"/>
        <v>3508798.7684793118</v>
      </c>
      <c r="K76">
        <f t="shared" si="28"/>
        <v>38.364179997756835</v>
      </c>
    </row>
    <row r="77" spans="1:11" x14ac:dyDescent="0.4">
      <c r="A77" t="s">
        <v>14</v>
      </c>
      <c r="B77">
        <f t="shared" si="30"/>
        <v>35</v>
      </c>
      <c r="C77">
        <v>5</v>
      </c>
      <c r="D77">
        <v>4.6858799999999999E-3</v>
      </c>
      <c r="E77">
        <f t="shared" si="23"/>
        <v>2.3157062654190708E-2</v>
      </c>
      <c r="F77">
        <f t="shared" si="24"/>
        <v>0.97684293734580929</v>
      </c>
      <c r="G77" s="7">
        <f t="shared" si="29"/>
        <v>90029.939848069655</v>
      </c>
      <c r="H77" s="7">
        <f t="shared" si="25"/>
        <v>2084.8289578147669</v>
      </c>
      <c r="I77">
        <f t="shared" si="26"/>
        <v>444937.62684581132</v>
      </c>
      <c r="J77">
        <f t="shared" si="27"/>
        <v>3055073.210784283</v>
      </c>
      <c r="K77">
        <f t="shared" si="28"/>
        <v>33.93396925444894</v>
      </c>
    </row>
    <row r="78" spans="1:11" x14ac:dyDescent="0.4">
      <c r="A78" t="s">
        <v>15</v>
      </c>
      <c r="B78">
        <f t="shared" si="30"/>
        <v>40</v>
      </c>
      <c r="C78">
        <v>5</v>
      </c>
      <c r="D78">
        <v>6.9143809999999998E-3</v>
      </c>
      <c r="E78">
        <f t="shared" si="23"/>
        <v>3.3981124398136164E-2</v>
      </c>
      <c r="F78">
        <f t="shared" si="24"/>
        <v>0.96601887560186384</v>
      </c>
      <c r="G78" s="7">
        <f t="shared" si="29"/>
        <v>87945.110890254888</v>
      </c>
      <c r="H78" s="7">
        <f t="shared" si="25"/>
        <v>2988.4737533696316</v>
      </c>
      <c r="I78">
        <f t="shared" si="26"/>
        <v>432254.3700678504</v>
      </c>
      <c r="J78">
        <f t="shared" si="27"/>
        <v>2610135.5839384715</v>
      </c>
      <c r="K78">
        <f t="shared" si="28"/>
        <v>29.679143701298102</v>
      </c>
    </row>
    <row r="79" spans="1:11" x14ac:dyDescent="0.4">
      <c r="A79" t="s">
        <v>16</v>
      </c>
      <c r="B79">
        <f t="shared" si="30"/>
        <v>45</v>
      </c>
      <c r="C79">
        <v>5</v>
      </c>
      <c r="D79">
        <v>1.0105872E-2</v>
      </c>
      <c r="E79">
        <f t="shared" si="23"/>
        <v>4.927398505324343E-2</v>
      </c>
      <c r="F79">
        <f t="shared" si="24"/>
        <v>0.95072601494675657</v>
      </c>
      <c r="G79" s="7">
        <f t="shared" si="29"/>
        <v>84956.637136885256</v>
      </c>
      <c r="H79" s="7">
        <f t="shared" si="25"/>
        <v>4186.1520684567076</v>
      </c>
      <c r="I79">
        <f t="shared" si="26"/>
        <v>414317.80551328452</v>
      </c>
      <c r="J79">
        <f t="shared" si="27"/>
        <v>2177881.2138706213</v>
      </c>
      <c r="K79">
        <f t="shared" si="28"/>
        <v>25.635209764265259</v>
      </c>
    </row>
    <row r="80" spans="1:11" x14ac:dyDescent="0.4">
      <c r="A80" t="s">
        <v>17</v>
      </c>
      <c r="B80">
        <f t="shared" si="30"/>
        <v>50</v>
      </c>
      <c r="C80">
        <v>5</v>
      </c>
      <c r="D80">
        <v>1.4846655E-2</v>
      </c>
      <c r="E80">
        <f t="shared" si="23"/>
        <v>7.1544916782189771E-2</v>
      </c>
      <c r="F80">
        <f t="shared" si="24"/>
        <v>0.92845508321781023</v>
      </c>
      <c r="G80" s="7">
        <f t="shared" si="29"/>
        <v>80770.485068428548</v>
      </c>
      <c r="H80" s="7">
        <f t="shared" si="25"/>
        <v>5778.7176326778281</v>
      </c>
      <c r="I80">
        <f t="shared" si="26"/>
        <v>389405.63126044814</v>
      </c>
      <c r="J80">
        <f t="shared" si="27"/>
        <v>1763563.4083573367</v>
      </c>
      <c r="K80">
        <f t="shared" si="28"/>
        <v>21.834255506367832</v>
      </c>
    </row>
    <row r="81" spans="1:11" x14ac:dyDescent="0.4">
      <c r="A81" t="s">
        <v>18</v>
      </c>
      <c r="B81">
        <f t="shared" si="30"/>
        <v>55</v>
      </c>
      <c r="C81">
        <v>5</v>
      </c>
      <c r="D81">
        <v>2.1944426E-2</v>
      </c>
      <c r="E81">
        <f t="shared" si="23"/>
        <v>0.10391690468463854</v>
      </c>
      <c r="F81">
        <f t="shared" si="24"/>
        <v>0.89608309531536146</v>
      </c>
      <c r="G81" s="7">
        <f t="shared" si="29"/>
        <v>74991.76743575072</v>
      </c>
      <c r="H81" s="7">
        <f t="shared" si="25"/>
        <v>7792.9123487534816</v>
      </c>
      <c r="I81">
        <f t="shared" si="26"/>
        <v>355476.5563068699</v>
      </c>
      <c r="J81">
        <f t="shared" si="27"/>
        <v>1374157.7770968885</v>
      </c>
      <c r="K81">
        <f t="shared" si="28"/>
        <v>18.32411508735542</v>
      </c>
    </row>
    <row r="82" spans="1:11" x14ac:dyDescent="0.4">
      <c r="A82" t="s">
        <v>19</v>
      </c>
      <c r="B82">
        <f t="shared" si="30"/>
        <v>60</v>
      </c>
      <c r="C82">
        <v>5</v>
      </c>
      <c r="D82">
        <v>3.1303057000000002E-2</v>
      </c>
      <c r="E82">
        <f t="shared" si="23"/>
        <v>0.14488155288244609</v>
      </c>
      <c r="F82">
        <f t="shared" si="24"/>
        <v>0.85511844711755391</v>
      </c>
      <c r="G82" s="7">
        <f t="shared" si="29"/>
        <v>67198.855086997239</v>
      </c>
      <c r="H82" s="7">
        <f t="shared" si="25"/>
        <v>9735.8744769266195</v>
      </c>
      <c r="I82">
        <f t="shared" si="26"/>
        <v>311654.58924266964</v>
      </c>
      <c r="J82">
        <f t="shared" si="27"/>
        <v>1018681.2207900186</v>
      </c>
      <c r="K82">
        <f t="shared" si="28"/>
        <v>15.159205011323625</v>
      </c>
    </row>
    <row r="83" spans="1:11" x14ac:dyDescent="0.4">
      <c r="A83" t="s">
        <v>20</v>
      </c>
      <c r="B83">
        <f t="shared" si="30"/>
        <v>65</v>
      </c>
      <c r="C83">
        <v>5</v>
      </c>
      <c r="D83">
        <v>4.4185110999999999E-2</v>
      </c>
      <c r="E83">
        <f t="shared" si="23"/>
        <v>0.19822363368990514</v>
      </c>
      <c r="F83">
        <f t="shared" si="24"/>
        <v>0.80177636631009486</v>
      </c>
      <c r="G83" s="7">
        <f t="shared" si="29"/>
        <v>57462.980610070619</v>
      </c>
      <c r="H83" s="7">
        <f t="shared" si="25"/>
        <v>11390.520819180761</v>
      </c>
      <c r="I83">
        <f t="shared" si="26"/>
        <v>258838.60100240121</v>
      </c>
      <c r="J83">
        <f t="shared" si="27"/>
        <v>707026.63154734892</v>
      </c>
      <c r="K83">
        <f t="shared" si="28"/>
        <v>12.304036860619089</v>
      </c>
    </row>
    <row r="84" spans="1:11" x14ac:dyDescent="0.4">
      <c r="A84" t="s">
        <v>21</v>
      </c>
      <c r="B84">
        <f t="shared" si="30"/>
        <v>70</v>
      </c>
      <c r="C84">
        <v>5</v>
      </c>
      <c r="D84">
        <v>6.6005128999999996E-2</v>
      </c>
      <c r="E84">
        <f t="shared" si="23"/>
        <v>0.28109470313081386</v>
      </c>
      <c r="F84">
        <f t="shared" si="24"/>
        <v>0.71890529686918614</v>
      </c>
      <c r="G84" s="7">
        <f t="shared" si="29"/>
        <v>46072.459790889858</v>
      </c>
      <c r="H84" s="7">
        <f t="shared" si="25"/>
        <v>12950.72440742654</v>
      </c>
      <c r="I84">
        <f t="shared" si="26"/>
        <v>197985.48793588293</v>
      </c>
      <c r="J84">
        <f t="shared" si="27"/>
        <v>448188.03054494783</v>
      </c>
      <c r="K84">
        <f t="shared" si="28"/>
        <v>9.7278945508694186</v>
      </c>
    </row>
    <row r="85" spans="1:11" x14ac:dyDescent="0.4">
      <c r="A85" t="s">
        <v>22</v>
      </c>
      <c r="B85">
        <f t="shared" si="30"/>
        <v>75</v>
      </c>
      <c r="C85">
        <v>5</v>
      </c>
      <c r="D85">
        <v>9.8262877999999998E-2</v>
      </c>
      <c r="E85">
        <f t="shared" si="23"/>
        <v>0.38817830686048127</v>
      </c>
      <c r="F85">
        <f t="shared" si="24"/>
        <v>0.61182169313951873</v>
      </c>
      <c r="G85" s="7">
        <f t="shared" si="29"/>
        <v>33121.735383463318</v>
      </c>
      <c r="H85" s="7">
        <f t="shared" si="25"/>
        <v>12857.139161433683</v>
      </c>
      <c r="I85">
        <f t="shared" si="26"/>
        <v>133465.82901373238</v>
      </c>
      <c r="J85">
        <f t="shared" si="27"/>
        <v>250202.54260906484</v>
      </c>
      <c r="K85">
        <f t="shared" si="28"/>
        <v>7.5540287884185986</v>
      </c>
    </row>
    <row r="86" spans="1:11" x14ac:dyDescent="0.4">
      <c r="A86" t="s">
        <v>23</v>
      </c>
      <c r="B86">
        <f t="shared" si="30"/>
        <v>80</v>
      </c>
      <c r="C86">
        <v>5</v>
      </c>
      <c r="D86">
        <v>0.14467101499999999</v>
      </c>
      <c r="E86">
        <f t="shared" si="23"/>
        <v>0.51487809785618499</v>
      </c>
      <c r="F86">
        <f t="shared" si="24"/>
        <v>0.48512190214381501</v>
      </c>
      <c r="G86" s="7">
        <f t="shared" si="29"/>
        <v>20264.596222029635</v>
      </c>
      <c r="H86" s="7">
        <f t="shared" si="25"/>
        <v>10433.796756622251</v>
      </c>
      <c r="I86">
        <f t="shared" si="26"/>
        <v>75238.489218592556</v>
      </c>
      <c r="J86">
        <f t="shared" si="27"/>
        <v>116736.71359533246</v>
      </c>
      <c r="K86">
        <f t="shared" si="28"/>
        <v>5.760623716174913</v>
      </c>
    </row>
    <row r="87" spans="1:11" x14ac:dyDescent="0.4">
      <c r="A87" t="s">
        <v>24</v>
      </c>
      <c r="B87">
        <f t="shared" si="30"/>
        <v>85</v>
      </c>
      <c r="C87" t="s">
        <v>41</v>
      </c>
      <c r="D87">
        <v>0.23689687000000001</v>
      </c>
      <c r="E87">
        <v>1</v>
      </c>
      <c r="F87">
        <f t="shared" si="24"/>
        <v>0</v>
      </c>
      <c r="G87" s="7">
        <f t="shared" si="29"/>
        <v>9830.7994654073846</v>
      </c>
      <c r="H87" s="7">
        <f t="shared" si="25"/>
        <v>9830.7994654073846</v>
      </c>
      <c r="I87">
        <f>G87/D87</f>
        <v>41498.224376739905</v>
      </c>
      <c r="J87">
        <f t="shared" si="27"/>
        <v>41498.224376739905</v>
      </c>
      <c r="K87">
        <f t="shared" si="28"/>
        <v>4.2212461481656556</v>
      </c>
    </row>
  </sheetData>
  <mergeCells count="3">
    <mergeCell ref="D1:F1"/>
    <mergeCell ref="J1:L1"/>
    <mergeCell ref="M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BEF7-AEA8-4FA2-AF87-376DF1A45DB9}">
  <dimension ref="A1:I21"/>
  <sheetViews>
    <sheetView workbookViewId="0">
      <selection activeCell="H16" sqref="H16"/>
    </sheetView>
  </sheetViews>
  <sheetFormatPr defaultRowHeight="14.6" x14ac:dyDescent="0.4"/>
  <sheetData>
    <row r="1" spans="1:9" x14ac:dyDescent="0.4">
      <c r="A1" t="s">
        <v>26</v>
      </c>
      <c r="C1" s="9" t="s">
        <v>37</v>
      </c>
      <c r="D1" s="9"/>
      <c r="E1" s="9"/>
      <c r="F1" s="9" t="s">
        <v>38</v>
      </c>
      <c r="G1" s="9"/>
      <c r="H1" s="9"/>
    </row>
    <row r="2" spans="1:9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6</v>
      </c>
      <c r="D3">
        <v>2.5907204999999999E-2</v>
      </c>
      <c r="E3">
        <v>2.7709424E-2</v>
      </c>
      <c r="F3">
        <v>2.402284E-2</v>
      </c>
      <c r="G3">
        <v>2.5445744999999999E-2</v>
      </c>
      <c r="H3">
        <v>2.7182182999999999E-2</v>
      </c>
      <c r="I3">
        <v>2.3625553000000001E-2</v>
      </c>
    </row>
    <row r="4" spans="1:9" x14ac:dyDescent="0.4">
      <c r="A4">
        <v>1</v>
      </c>
      <c r="B4">
        <v>4</v>
      </c>
      <c r="C4" t="s">
        <v>7</v>
      </c>
      <c r="D4">
        <v>1.3297230000000001E-3</v>
      </c>
      <c r="E4">
        <v>1.424914E-3</v>
      </c>
      <c r="F4">
        <v>1.2303170000000001E-3</v>
      </c>
      <c r="G4">
        <v>5.3019720000000003E-3</v>
      </c>
      <c r="H4">
        <v>5.6802320000000003E-3</v>
      </c>
      <c r="I4">
        <v>4.9067809999999998E-3</v>
      </c>
    </row>
    <row r="5" spans="1:9" x14ac:dyDescent="0.4">
      <c r="A5">
        <v>5</v>
      </c>
      <c r="B5">
        <v>5</v>
      </c>
      <c r="C5" t="s">
        <v>8</v>
      </c>
      <c r="D5">
        <v>7.1463699999999995E-4</v>
      </c>
      <c r="E5">
        <v>7.6582600000000005E-4</v>
      </c>
      <c r="F5">
        <v>6.6123899999999999E-4</v>
      </c>
      <c r="G5">
        <v>3.5668140000000002E-3</v>
      </c>
      <c r="H5">
        <v>3.8218100000000001E-3</v>
      </c>
      <c r="I5">
        <v>3.3007359999999999E-3</v>
      </c>
    </row>
    <row r="6" spans="1:9" x14ac:dyDescent="0.4">
      <c r="A6">
        <f>A5+5</f>
        <v>10</v>
      </c>
      <c r="B6">
        <v>5</v>
      </c>
      <c r="C6" t="s">
        <v>9</v>
      </c>
      <c r="D6">
        <v>6.6755899999999997E-4</v>
      </c>
      <c r="E6">
        <v>7.9780699999999999E-4</v>
      </c>
      <c r="F6">
        <v>5.3151200000000004E-4</v>
      </c>
      <c r="G6">
        <v>3.332233E-3</v>
      </c>
      <c r="H6">
        <v>3.9810940000000001E-3</v>
      </c>
      <c r="I6">
        <v>2.6540349999999999E-3</v>
      </c>
    </row>
    <row r="7" spans="1:9" x14ac:dyDescent="0.4">
      <c r="A7">
        <f t="shared" ref="A7:A21" si="0">A6+5</f>
        <v>15</v>
      </c>
      <c r="B7">
        <v>5</v>
      </c>
      <c r="C7" t="s">
        <v>10</v>
      </c>
      <c r="D7">
        <v>6.5986500000000004E-4</v>
      </c>
      <c r="E7">
        <v>6.9038300000000003E-4</v>
      </c>
      <c r="F7">
        <v>6.2793699999999996E-4</v>
      </c>
      <c r="G7">
        <v>3.2938920000000001E-3</v>
      </c>
      <c r="H7">
        <v>3.4459669999999999E-3</v>
      </c>
      <c r="I7">
        <v>3.1347620000000001E-3</v>
      </c>
    </row>
    <row r="8" spans="1:9" x14ac:dyDescent="0.4">
      <c r="A8">
        <f t="shared" si="0"/>
        <v>20</v>
      </c>
      <c r="B8">
        <v>5</v>
      </c>
      <c r="C8" t="s">
        <v>11</v>
      </c>
      <c r="D8">
        <v>7.4759999999999996E-4</v>
      </c>
      <c r="E8">
        <v>8.2127800000000005E-4</v>
      </c>
      <c r="F8">
        <v>6.7167300000000002E-4</v>
      </c>
      <c r="G8">
        <v>3.7310249999999998E-3</v>
      </c>
      <c r="H8">
        <v>4.0979780000000004E-3</v>
      </c>
      <c r="I8">
        <v>3.3527349999999999E-3</v>
      </c>
    </row>
    <row r="9" spans="1:9" x14ac:dyDescent="0.4">
      <c r="A9">
        <f t="shared" si="0"/>
        <v>25</v>
      </c>
      <c r="B9">
        <v>5</v>
      </c>
      <c r="C9" t="s">
        <v>12</v>
      </c>
      <c r="D9">
        <v>8.7164199999999995E-4</v>
      </c>
      <c r="E9">
        <v>9.9916200000000005E-4</v>
      </c>
      <c r="F9">
        <v>7.4453900000000001E-4</v>
      </c>
      <c r="G9">
        <v>4.3487339999999999E-3</v>
      </c>
      <c r="H9">
        <v>4.9833630000000002E-3</v>
      </c>
      <c r="I9">
        <v>3.715781E-3</v>
      </c>
    </row>
    <row r="10" spans="1:9" x14ac:dyDescent="0.4">
      <c r="A10">
        <f t="shared" si="0"/>
        <v>30</v>
      </c>
      <c r="B10">
        <v>5</v>
      </c>
      <c r="C10" t="s">
        <v>13</v>
      </c>
      <c r="D10">
        <v>9.8182299999999994E-4</v>
      </c>
      <c r="E10">
        <v>1.2036589999999999E-3</v>
      </c>
      <c r="F10">
        <v>7.6666600000000005E-4</v>
      </c>
      <c r="G10">
        <v>4.8970970000000004E-3</v>
      </c>
      <c r="H10">
        <v>6.0002420000000002E-3</v>
      </c>
      <c r="I10">
        <v>3.8259959999999999E-3</v>
      </c>
    </row>
    <row r="11" spans="1:9" x14ac:dyDescent="0.4">
      <c r="A11">
        <f t="shared" si="0"/>
        <v>35</v>
      </c>
      <c r="B11">
        <v>5</v>
      </c>
      <c r="C11" t="s">
        <v>14</v>
      </c>
      <c r="D11">
        <v>1.3308490000000001E-3</v>
      </c>
      <c r="E11">
        <v>1.531267E-3</v>
      </c>
      <c r="F11">
        <v>1.136441E-3</v>
      </c>
      <c r="G11">
        <v>6.632181E-3</v>
      </c>
      <c r="H11">
        <v>7.6271380000000003E-3</v>
      </c>
      <c r="I11">
        <v>5.6661080000000004E-3</v>
      </c>
    </row>
    <row r="12" spans="1:9" x14ac:dyDescent="0.4">
      <c r="A12">
        <f t="shared" si="0"/>
        <v>40</v>
      </c>
      <c r="B12">
        <v>5</v>
      </c>
      <c r="C12" t="s">
        <v>15</v>
      </c>
      <c r="D12">
        <v>2.0699440000000002E-3</v>
      </c>
      <c r="E12">
        <v>2.3681010000000001E-3</v>
      </c>
      <c r="F12">
        <v>1.7771740000000001E-3</v>
      </c>
      <c r="G12">
        <v>1.0296438999999999E-2</v>
      </c>
      <c r="H12">
        <v>1.1770816999999999E-2</v>
      </c>
      <c r="I12">
        <v>8.8465660000000002E-3</v>
      </c>
    </row>
    <row r="13" spans="1:9" x14ac:dyDescent="0.4">
      <c r="A13">
        <f t="shared" si="0"/>
        <v>45</v>
      </c>
      <c r="B13">
        <v>5</v>
      </c>
      <c r="C13" t="s">
        <v>16</v>
      </c>
      <c r="D13">
        <v>3.331297E-3</v>
      </c>
      <c r="E13">
        <v>4.0809319999999998E-3</v>
      </c>
      <c r="F13">
        <v>2.5740720000000002E-3</v>
      </c>
      <c r="G13">
        <v>1.6518913E-2</v>
      </c>
      <c r="H13">
        <v>2.0198588E-2</v>
      </c>
      <c r="I13">
        <v>1.2788067E-2</v>
      </c>
    </row>
    <row r="14" spans="1:9" x14ac:dyDescent="0.4">
      <c r="A14">
        <f t="shared" si="0"/>
        <v>50</v>
      </c>
      <c r="B14">
        <v>5</v>
      </c>
      <c r="C14" t="s">
        <v>17</v>
      </c>
      <c r="D14">
        <v>6.2536509999999998E-3</v>
      </c>
      <c r="E14">
        <v>7.0857359999999996E-3</v>
      </c>
      <c r="F14">
        <v>5.3688290000000003E-3</v>
      </c>
      <c r="G14">
        <v>3.0786930000000001E-2</v>
      </c>
      <c r="H14">
        <v>3.4812009999999997E-2</v>
      </c>
      <c r="I14">
        <v>2.6488615E-2</v>
      </c>
    </row>
    <row r="15" spans="1:9" x14ac:dyDescent="0.4">
      <c r="A15">
        <f t="shared" si="0"/>
        <v>55</v>
      </c>
      <c r="B15">
        <v>5</v>
      </c>
      <c r="C15" t="s">
        <v>18</v>
      </c>
      <c r="D15">
        <v>8.5170279999999994E-3</v>
      </c>
      <c r="E15">
        <v>9.9688569999999994E-3</v>
      </c>
      <c r="F15">
        <v>6.9385310000000004E-3</v>
      </c>
      <c r="G15">
        <v>4.1697298000000001E-2</v>
      </c>
      <c r="H15">
        <v>4.8632267E-2</v>
      </c>
      <c r="I15">
        <v>3.4101123999999997E-2</v>
      </c>
    </row>
    <row r="16" spans="1:9" x14ac:dyDescent="0.4">
      <c r="A16">
        <f t="shared" si="0"/>
        <v>60</v>
      </c>
      <c r="B16">
        <v>5</v>
      </c>
      <c r="C16" t="s">
        <v>19</v>
      </c>
      <c r="D16">
        <v>1.3662957999999999E-2</v>
      </c>
      <c r="E16">
        <v>1.5822836999999999E-2</v>
      </c>
      <c r="F16">
        <v>1.1235485E-2</v>
      </c>
      <c r="G16">
        <v>6.6058408999999998E-2</v>
      </c>
      <c r="H16">
        <v>7.6103743000000001E-2</v>
      </c>
      <c r="I16">
        <v>5.4642583000000002E-2</v>
      </c>
    </row>
    <row r="17" spans="1:9" x14ac:dyDescent="0.4">
      <c r="A17">
        <f t="shared" si="0"/>
        <v>65</v>
      </c>
      <c r="B17">
        <v>5</v>
      </c>
      <c r="C17" t="s">
        <v>20</v>
      </c>
      <c r="D17">
        <v>2.0659617000000002E-2</v>
      </c>
      <c r="E17">
        <v>2.3050488000000001E-2</v>
      </c>
      <c r="F17">
        <v>1.7953628999999999E-2</v>
      </c>
      <c r="G17">
        <v>9.8224863999999995E-2</v>
      </c>
      <c r="H17">
        <v>0.10897275300000001</v>
      </c>
      <c r="I17">
        <v>8.5912059999999998E-2</v>
      </c>
    </row>
    <row r="18" spans="1:9" x14ac:dyDescent="0.4">
      <c r="A18">
        <f t="shared" si="0"/>
        <v>70</v>
      </c>
      <c r="B18">
        <v>5</v>
      </c>
      <c r="C18" t="s">
        <v>21</v>
      </c>
      <c r="D18">
        <v>3.0480343E-2</v>
      </c>
      <c r="E18">
        <v>3.2467186000000002E-2</v>
      </c>
      <c r="F18">
        <v>2.8413694E-2</v>
      </c>
      <c r="G18">
        <v>0.14161084500000001</v>
      </c>
      <c r="H18">
        <v>0.15014866900000001</v>
      </c>
      <c r="I18">
        <v>0.13264605800000001</v>
      </c>
    </row>
    <row r="19" spans="1:9" x14ac:dyDescent="0.4">
      <c r="A19">
        <f t="shared" si="0"/>
        <v>75</v>
      </c>
      <c r="B19">
        <v>5</v>
      </c>
      <c r="C19" t="s">
        <v>22</v>
      </c>
      <c r="D19">
        <v>4.5105850000000003E-2</v>
      </c>
      <c r="E19">
        <v>4.7119350999999997E-2</v>
      </c>
      <c r="F19">
        <v>4.3142791E-2</v>
      </c>
      <c r="G19">
        <v>0.20267471300000001</v>
      </c>
      <c r="H19">
        <v>0.21076856099999999</v>
      </c>
      <c r="I19">
        <v>0.19471281800000001</v>
      </c>
    </row>
    <row r="20" spans="1:9" x14ac:dyDescent="0.4">
      <c r="A20">
        <f t="shared" si="0"/>
        <v>80</v>
      </c>
      <c r="B20">
        <v>5</v>
      </c>
      <c r="C20" t="s">
        <v>23</v>
      </c>
      <c r="D20">
        <v>8.4093851999999997E-2</v>
      </c>
      <c r="E20">
        <v>8.7356349999999999E-2</v>
      </c>
      <c r="F20">
        <v>8.1061458000000003E-2</v>
      </c>
      <c r="G20">
        <v>0.34742788800000002</v>
      </c>
      <c r="H20">
        <v>0.35849066000000002</v>
      </c>
      <c r="I20">
        <v>0.33701081999999999</v>
      </c>
    </row>
    <row r="21" spans="1:9" x14ac:dyDescent="0.4">
      <c r="A21">
        <f t="shared" si="0"/>
        <v>85</v>
      </c>
      <c r="B21" t="s">
        <v>41</v>
      </c>
      <c r="C21" t="s">
        <v>24</v>
      </c>
      <c r="D21">
        <v>0.16963729399999999</v>
      </c>
      <c r="E21">
        <v>0.17498828699999999</v>
      </c>
      <c r="F21">
        <v>0.165378053</v>
      </c>
      <c r="G21">
        <v>1</v>
      </c>
      <c r="H21">
        <v>1</v>
      </c>
      <c r="I21">
        <v>1</v>
      </c>
    </row>
  </sheetData>
  <mergeCells count="2">
    <mergeCell ref="C1:E1"/>
    <mergeCell ref="F1:H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C279-354B-41CA-BDB2-18DF08771E9A}">
  <dimension ref="A1:AI67"/>
  <sheetViews>
    <sheetView tabSelected="1" topLeftCell="A33" workbookViewId="0">
      <selection activeCell="G49" sqref="G49:G67"/>
    </sheetView>
  </sheetViews>
  <sheetFormatPr defaultRowHeight="14.6" x14ac:dyDescent="0.4"/>
  <cols>
    <col min="1" max="1" width="15.4609375" customWidth="1"/>
    <col min="7" max="7" width="12.3828125" bestFit="1" customWidth="1"/>
  </cols>
  <sheetData>
    <row r="1" spans="1:15" x14ac:dyDescent="0.4">
      <c r="A1" t="s">
        <v>30</v>
      </c>
      <c r="B1">
        <v>2019</v>
      </c>
      <c r="D1" s="9" t="s">
        <v>37</v>
      </c>
      <c r="E1" s="9"/>
      <c r="F1" s="9"/>
      <c r="G1" s="9" t="s">
        <v>38</v>
      </c>
      <c r="H1" s="9"/>
      <c r="I1" s="9"/>
      <c r="J1" s="9" t="s">
        <v>46</v>
      </c>
      <c r="K1" s="9"/>
      <c r="L1" s="9"/>
      <c r="M1" s="9" t="s">
        <v>47</v>
      </c>
      <c r="N1" s="9"/>
      <c r="O1" s="9"/>
    </row>
    <row r="2" spans="1:15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  <c r="J2" t="s">
        <v>2</v>
      </c>
      <c r="K2" t="s">
        <v>3</v>
      </c>
      <c r="L2" t="s">
        <v>4</v>
      </c>
      <c r="M2" t="s">
        <v>2</v>
      </c>
      <c r="N2" t="s">
        <v>3</v>
      </c>
      <c r="O2" t="s">
        <v>4</v>
      </c>
    </row>
    <row r="3" spans="1:15" x14ac:dyDescent="0.4">
      <c r="A3">
        <v>0</v>
      </c>
      <c r="B3">
        <v>1</v>
      </c>
      <c r="C3" t="s">
        <v>6</v>
      </c>
      <c r="D3">
        <v>2.8345842999999999E-2</v>
      </c>
      <c r="E3">
        <v>2.8394243999999999E-2</v>
      </c>
      <c r="F3">
        <v>2.8292624999999998E-2</v>
      </c>
      <c r="G3">
        <v>2.7794345000000002E-2</v>
      </c>
      <c r="H3">
        <v>2.7840879999999998E-2</v>
      </c>
      <c r="I3">
        <v>2.7743176000000001E-2</v>
      </c>
      <c r="J3" s="4">
        <f>1-EXP(-B3*D3)</f>
        <v>2.7947868762983274E-2</v>
      </c>
      <c r="K3" s="5">
        <f>1-EXP(-B3*E3)</f>
        <v>2.7994915919613339E-2</v>
      </c>
      <c r="L3" s="6">
        <f>1-EXP(-B3*F3)</f>
        <v>2.7896136716137332E-2</v>
      </c>
      <c r="M3" s="3">
        <f>J3/G3</f>
        <v>1.0055235611050835</v>
      </c>
      <c r="N3" s="3">
        <f>K3/H3</f>
        <v>1.0055327245264281</v>
      </c>
      <c r="O3" s="3">
        <f>L3/I3</f>
        <v>1.0055134536917234</v>
      </c>
    </row>
    <row r="4" spans="1:15" x14ac:dyDescent="0.4">
      <c r="A4">
        <v>1</v>
      </c>
      <c r="B4">
        <v>4</v>
      </c>
      <c r="C4" t="s">
        <v>7</v>
      </c>
      <c r="D4">
        <v>1.559223E-3</v>
      </c>
      <c r="E4">
        <v>1.3958969999999999E-3</v>
      </c>
      <c r="F4">
        <v>1.739006E-3</v>
      </c>
      <c r="G4">
        <v>6.2136400000000003E-3</v>
      </c>
      <c r="H4">
        <v>5.5649439999999996E-3</v>
      </c>
      <c r="I4">
        <v>6.9271130000000004E-3</v>
      </c>
      <c r="J4" s="4">
        <f t="shared" ref="J4:J20" si="0">1-EXP(-B4*D4)</f>
        <v>6.2174829607472004E-3</v>
      </c>
      <c r="K4" s="5">
        <f t="shared" ref="K4:K20" si="1">1-EXP(-B4*E4)</f>
        <v>5.5680287448161003E-3</v>
      </c>
      <c r="L4" s="6">
        <f t="shared" ref="L4:L20" si="2">1-EXP(-B4*F4)</f>
        <v>6.9318868636490949E-3</v>
      </c>
      <c r="M4" s="3">
        <f t="shared" ref="M4:M21" si="3">J4/G4</f>
        <v>1.0006184717407509</v>
      </c>
      <c r="N4" s="3">
        <f t="shared" ref="N4:N21" si="4">K4/H4</f>
        <v>1.0005543173149811</v>
      </c>
      <c r="O4" s="3">
        <f t="shared" ref="O4:O21" si="5">L4/I4</f>
        <v>1.0006891563121743</v>
      </c>
    </row>
    <row r="5" spans="1:15" x14ac:dyDescent="0.4">
      <c r="A5">
        <v>5</v>
      </c>
      <c r="B5">
        <v>5</v>
      </c>
      <c r="C5" t="s">
        <v>8</v>
      </c>
      <c r="D5">
        <v>5.58316E-4</v>
      </c>
      <c r="E5">
        <v>4.9988699999999997E-4</v>
      </c>
      <c r="F5">
        <v>6.2275899999999996E-4</v>
      </c>
      <c r="G5">
        <v>2.787688E-3</v>
      </c>
      <c r="H5">
        <v>2.4963160000000002E-3</v>
      </c>
      <c r="I5">
        <v>3.1089519999999999E-3</v>
      </c>
      <c r="J5" s="4">
        <f t="shared" si="0"/>
        <v>2.7876871637821932E-3</v>
      </c>
      <c r="K5" s="5">
        <f t="shared" si="1"/>
        <v>2.4963140131164518E-3</v>
      </c>
      <c r="L5" s="6">
        <f t="shared" si="2"/>
        <v>3.1089521681815224E-3</v>
      </c>
      <c r="M5" s="3">
        <f t="shared" si="3"/>
        <v>0.99999970003178018</v>
      </c>
      <c r="N5" s="3">
        <f t="shared" si="4"/>
        <v>0.99999920407370368</v>
      </c>
      <c r="O5" s="3">
        <f t="shared" si="5"/>
        <v>1.0000000540958891</v>
      </c>
    </row>
    <row r="6" spans="1:15" x14ac:dyDescent="0.4">
      <c r="A6">
        <f>A5+5</f>
        <v>10</v>
      </c>
      <c r="B6">
        <v>5</v>
      </c>
      <c r="C6" t="s">
        <v>9</v>
      </c>
      <c r="D6">
        <v>5.4242799999999996E-4</v>
      </c>
      <c r="E6">
        <v>5.3676699999999995E-4</v>
      </c>
      <c r="F6">
        <v>5.4871300000000004E-4</v>
      </c>
      <c r="G6">
        <v>2.7084650000000002E-3</v>
      </c>
      <c r="H6">
        <v>2.6802359999999999E-3</v>
      </c>
      <c r="I6">
        <v>2.7398079999999998E-3</v>
      </c>
      <c r="J6" s="4">
        <f t="shared" si="0"/>
        <v>2.7084654710065603E-3</v>
      </c>
      <c r="K6" s="5">
        <f t="shared" si="1"/>
        <v>2.6802367346163702E-3</v>
      </c>
      <c r="L6" s="6">
        <f t="shared" si="2"/>
        <v>2.7398048650563167E-3</v>
      </c>
      <c r="M6" s="3">
        <f t="shared" si="3"/>
        <v>1.0000001739016602</v>
      </c>
      <c r="N6" s="3">
        <f t="shared" si="4"/>
        <v>1.00000027408645</v>
      </c>
      <c r="O6" s="3">
        <f t="shared" si="5"/>
        <v>0.99999885577979075</v>
      </c>
    </row>
    <row r="7" spans="1:15" x14ac:dyDescent="0.4">
      <c r="A7">
        <f t="shared" ref="A7:A21" si="6">A6+5</f>
        <v>15</v>
      </c>
      <c r="B7">
        <v>5</v>
      </c>
      <c r="C7" t="s">
        <v>10</v>
      </c>
      <c r="D7">
        <v>8.3872700000000005E-4</v>
      </c>
      <c r="E7">
        <v>7.9171899999999997E-4</v>
      </c>
      <c r="F7">
        <v>8.9158200000000003E-4</v>
      </c>
      <c r="G7">
        <v>4.184859E-3</v>
      </c>
      <c r="H7">
        <v>3.9507769999999999E-3</v>
      </c>
      <c r="I7">
        <v>4.4479960000000001E-3</v>
      </c>
      <c r="J7" s="4">
        <f t="shared" si="0"/>
        <v>4.184853991812898E-3</v>
      </c>
      <c r="K7" s="5">
        <f t="shared" si="1"/>
        <v>3.9507700914328536E-3</v>
      </c>
      <c r="L7" s="6">
        <f t="shared" si="2"/>
        <v>4.4479882680873439E-3</v>
      </c>
      <c r="M7" s="3">
        <f t="shared" si="3"/>
        <v>0.9999988032602527</v>
      </c>
      <c r="N7" s="3">
        <f t="shared" si="4"/>
        <v>0.99999825133963616</v>
      </c>
      <c r="O7" s="3">
        <f t="shared" si="5"/>
        <v>0.99999826170872097</v>
      </c>
    </row>
    <row r="8" spans="1:15" x14ac:dyDescent="0.4">
      <c r="A8">
        <f t="shared" si="6"/>
        <v>20</v>
      </c>
      <c r="B8">
        <v>5</v>
      </c>
      <c r="C8" t="s">
        <v>11</v>
      </c>
      <c r="D8">
        <v>1.301223E-3</v>
      </c>
      <c r="E8">
        <v>1.366967E-3</v>
      </c>
      <c r="F8">
        <v>1.2272679999999999E-3</v>
      </c>
      <c r="G8">
        <v>6.4850189999999999E-3</v>
      </c>
      <c r="H8">
        <v>6.8115579999999997E-3</v>
      </c>
      <c r="I8">
        <v>6.1175680000000003E-3</v>
      </c>
      <c r="J8" s="4">
        <f t="shared" si="0"/>
        <v>6.4849960593768019E-3</v>
      </c>
      <c r="K8" s="5">
        <f t="shared" si="1"/>
        <v>6.8115306393082831E-3</v>
      </c>
      <c r="L8" s="6">
        <f t="shared" si="2"/>
        <v>6.1175511170047381E-3</v>
      </c>
      <c r="M8" s="3">
        <f t="shared" si="3"/>
        <v>0.99999646252027974</v>
      </c>
      <c r="N8" s="3">
        <f t="shared" si="4"/>
        <v>0.99999598319625016</v>
      </c>
      <c r="O8" s="3">
        <f t="shared" si="5"/>
        <v>0.99999724024395609</v>
      </c>
    </row>
    <row r="9" spans="1:15" x14ac:dyDescent="0.4">
      <c r="A9">
        <f t="shared" si="6"/>
        <v>25</v>
      </c>
      <c r="B9">
        <v>5</v>
      </c>
      <c r="C9" t="s">
        <v>12</v>
      </c>
      <c r="D9">
        <v>1.498421E-3</v>
      </c>
      <c r="E9">
        <v>1.682876E-3</v>
      </c>
      <c r="F9">
        <v>1.2921149999999999E-3</v>
      </c>
      <c r="G9">
        <v>7.4641450000000002E-3</v>
      </c>
      <c r="H9">
        <v>8.3791300000000003E-3</v>
      </c>
      <c r="I9">
        <v>6.4397730000000002E-3</v>
      </c>
      <c r="J9" s="4">
        <f t="shared" si="0"/>
        <v>7.4641091409360927E-3</v>
      </c>
      <c r="K9" s="5">
        <f t="shared" si="1"/>
        <v>8.3790781882836507E-3</v>
      </c>
      <c r="L9" s="6">
        <f t="shared" si="2"/>
        <v>6.4397503558605296E-3</v>
      </c>
      <c r="M9" s="3">
        <f t="shared" si="3"/>
        <v>0.99999519582431651</v>
      </c>
      <c r="N9" s="3">
        <f t="shared" si="4"/>
        <v>0.99999381657566477</v>
      </c>
      <c r="O9" s="3">
        <f t="shared" si="5"/>
        <v>0.99999648370533079</v>
      </c>
    </row>
    <row r="10" spans="1:15" x14ac:dyDescent="0.4">
      <c r="A10">
        <f t="shared" si="6"/>
        <v>30</v>
      </c>
      <c r="B10">
        <v>5</v>
      </c>
      <c r="C10" t="s">
        <v>13</v>
      </c>
      <c r="D10">
        <v>1.90733E-3</v>
      </c>
      <c r="E10">
        <v>2.3089500000000002E-3</v>
      </c>
      <c r="F10">
        <v>1.4644549999999999E-3</v>
      </c>
      <c r="G10">
        <v>9.4913900000000006E-3</v>
      </c>
      <c r="H10">
        <v>1.1478491E-2</v>
      </c>
      <c r="I10">
        <v>7.2955650000000004E-3</v>
      </c>
      <c r="J10" s="4">
        <f t="shared" si="0"/>
        <v>9.491320365453082E-3</v>
      </c>
      <c r="K10" s="5">
        <f t="shared" si="1"/>
        <v>1.14783650850524E-2</v>
      </c>
      <c r="L10" s="6">
        <f t="shared" si="2"/>
        <v>7.2955324563074297E-3</v>
      </c>
      <c r="M10" s="3">
        <f t="shared" si="3"/>
        <v>0.99999266339841497</v>
      </c>
      <c r="N10" s="3">
        <f t="shared" si="4"/>
        <v>0.99998903035707387</v>
      </c>
      <c r="O10" s="3">
        <f t="shared" si="5"/>
        <v>0.9999955392498634</v>
      </c>
    </row>
    <row r="11" spans="1:15" x14ac:dyDescent="0.4">
      <c r="A11">
        <f t="shared" si="6"/>
        <v>35</v>
      </c>
      <c r="B11">
        <v>5</v>
      </c>
      <c r="C11" t="s">
        <v>14</v>
      </c>
      <c r="D11">
        <v>2.5478020000000001E-3</v>
      </c>
      <c r="E11">
        <v>3.1896009999999998E-3</v>
      </c>
      <c r="F11">
        <v>1.8485839999999999E-3</v>
      </c>
      <c r="G11">
        <v>1.2658381E-2</v>
      </c>
      <c r="H11">
        <v>1.5821844000000002E-2</v>
      </c>
      <c r="I11">
        <v>9.2004029999999994E-3</v>
      </c>
      <c r="J11" s="4">
        <f t="shared" si="0"/>
        <v>1.265821227038566E-2</v>
      </c>
      <c r="K11" s="5">
        <f t="shared" si="1"/>
        <v>1.5821508914401261E-2</v>
      </c>
      <c r="L11" s="6">
        <f t="shared" si="2"/>
        <v>9.2003355175863666E-3</v>
      </c>
      <c r="M11" s="3">
        <f t="shared" si="3"/>
        <v>0.99998667052174051</v>
      </c>
      <c r="N11" s="3">
        <f t="shared" si="4"/>
        <v>0.99997882133089289</v>
      </c>
      <c r="O11" s="3">
        <f t="shared" si="5"/>
        <v>0.99999266527633268</v>
      </c>
    </row>
    <row r="12" spans="1:15" x14ac:dyDescent="0.4">
      <c r="A12">
        <f t="shared" si="6"/>
        <v>40</v>
      </c>
      <c r="B12">
        <v>5</v>
      </c>
      <c r="C12" t="s">
        <v>15</v>
      </c>
      <c r="D12">
        <v>3.3589570000000001E-3</v>
      </c>
      <c r="E12">
        <v>4.0587970000000003E-3</v>
      </c>
      <c r="F12">
        <v>2.611712E-3</v>
      </c>
      <c r="G12">
        <v>1.6654925000000001E-2</v>
      </c>
      <c r="H12">
        <v>2.0090131000000001E-2</v>
      </c>
      <c r="I12">
        <v>1.2973851999999999E-2</v>
      </c>
      <c r="J12" s="4">
        <f t="shared" si="0"/>
        <v>1.6654538830770393E-2</v>
      </c>
      <c r="K12" s="5">
        <f t="shared" si="1"/>
        <v>2.008944804646362E-2</v>
      </c>
      <c r="L12" s="6">
        <f t="shared" si="2"/>
        <v>1.2973666934201433E-2</v>
      </c>
      <c r="M12" s="3">
        <f t="shared" si="3"/>
        <v>0.99997681351134227</v>
      </c>
      <c r="N12" s="3">
        <f t="shared" si="4"/>
        <v>0.99996600552100035</v>
      </c>
      <c r="O12" s="3">
        <f t="shared" si="5"/>
        <v>0.99998573547790082</v>
      </c>
    </row>
    <row r="13" spans="1:15" x14ac:dyDescent="0.4">
      <c r="A13">
        <f t="shared" si="6"/>
        <v>45</v>
      </c>
      <c r="B13">
        <v>5</v>
      </c>
      <c r="C13" t="s">
        <v>16</v>
      </c>
      <c r="D13">
        <v>4.7905020000000003E-3</v>
      </c>
      <c r="E13">
        <v>5.9774629999999997E-3</v>
      </c>
      <c r="F13">
        <v>3.5395130000000002E-3</v>
      </c>
      <c r="G13">
        <v>2.3669042000000001E-2</v>
      </c>
      <c r="H13">
        <v>2.9447266999999999E-2</v>
      </c>
      <c r="I13">
        <v>1.7542335999999999E-2</v>
      </c>
      <c r="J13" s="4">
        <f t="shared" si="0"/>
        <v>2.3667925332808259E-2</v>
      </c>
      <c r="K13" s="5">
        <f t="shared" si="1"/>
        <v>2.9445105634997804E-2</v>
      </c>
      <c r="L13" s="6">
        <f t="shared" si="2"/>
        <v>1.7541882847722623E-2</v>
      </c>
      <c r="M13" s="3">
        <f t="shared" si="3"/>
        <v>0.99995282161433729</v>
      </c>
      <c r="N13" s="3">
        <f t="shared" si="4"/>
        <v>0.99992660218681084</v>
      </c>
      <c r="O13" s="3">
        <f t="shared" si="5"/>
        <v>0.99997416807673867</v>
      </c>
    </row>
    <row r="14" spans="1:15" x14ac:dyDescent="0.4">
      <c r="A14">
        <f t="shared" si="6"/>
        <v>50</v>
      </c>
      <c r="B14">
        <v>5</v>
      </c>
      <c r="C14" t="s">
        <v>17</v>
      </c>
      <c r="D14">
        <v>7.797099E-3</v>
      </c>
      <c r="E14">
        <v>8.6974249999999999E-3</v>
      </c>
      <c r="F14">
        <v>6.8547770000000003E-3</v>
      </c>
      <c r="G14">
        <v>3.8240088999999998E-2</v>
      </c>
      <c r="H14">
        <v>4.2561685000000002E-2</v>
      </c>
      <c r="I14">
        <v>3.3696431999999998E-2</v>
      </c>
      <c r="J14" s="4">
        <f t="shared" si="0"/>
        <v>3.8235340558422815E-2</v>
      </c>
      <c r="K14" s="5">
        <f t="shared" si="1"/>
        <v>4.2555118885544085E-2</v>
      </c>
      <c r="L14" s="6">
        <f t="shared" si="2"/>
        <v>3.3693188549639541E-2</v>
      </c>
      <c r="M14" s="3">
        <f t="shared" si="3"/>
        <v>0.99987582556156751</v>
      </c>
      <c r="N14" s="3">
        <f t="shared" si="4"/>
        <v>0.99984572710277053</v>
      </c>
      <c r="O14" s="3">
        <f t="shared" si="5"/>
        <v>0.99990374499114754</v>
      </c>
    </row>
    <row r="15" spans="1:15" x14ac:dyDescent="0.4">
      <c r="A15">
        <f t="shared" si="6"/>
        <v>55</v>
      </c>
      <c r="B15">
        <v>5</v>
      </c>
      <c r="C15" t="s">
        <v>18</v>
      </c>
      <c r="D15">
        <v>1.1786385E-2</v>
      </c>
      <c r="E15">
        <v>1.4084853E-2</v>
      </c>
      <c r="F15">
        <v>9.4026089999999993E-3</v>
      </c>
      <c r="G15">
        <v>5.724514E-2</v>
      </c>
      <c r="H15">
        <v>6.8028826000000001E-2</v>
      </c>
      <c r="I15">
        <v>4.5933310999999998E-2</v>
      </c>
      <c r="J15" s="4">
        <f t="shared" si="0"/>
        <v>5.7229053895191839E-2</v>
      </c>
      <c r="K15" s="5">
        <f t="shared" si="1"/>
        <v>6.8001678254108189E-2</v>
      </c>
      <c r="L15" s="6">
        <f t="shared" si="2"/>
        <v>4.5925048398551271E-2</v>
      </c>
      <c r="M15" s="3">
        <f t="shared" si="3"/>
        <v>0.99971899614870086</v>
      </c>
      <c r="N15" s="3">
        <f t="shared" si="4"/>
        <v>0.99960093761000945</v>
      </c>
      <c r="O15" s="3">
        <f t="shared" si="5"/>
        <v>0.99982011744268284</v>
      </c>
    </row>
    <row r="16" spans="1:15" x14ac:dyDescent="0.4">
      <c r="A16">
        <f t="shared" si="6"/>
        <v>60</v>
      </c>
      <c r="B16">
        <v>5</v>
      </c>
      <c r="C16" t="s">
        <v>19</v>
      </c>
      <c r="D16">
        <v>1.7562732000000001E-2</v>
      </c>
      <c r="E16">
        <v>1.9809436E-2</v>
      </c>
      <c r="F16">
        <v>1.5264842000000001E-2</v>
      </c>
      <c r="G16">
        <v>8.4120207000000002E-2</v>
      </c>
      <c r="H16">
        <v>9.4373468000000002E-2</v>
      </c>
      <c r="I16">
        <v>7.3518587999999996E-2</v>
      </c>
      <c r="J16" s="4">
        <f t="shared" si="0"/>
        <v>8.4068464495120843E-2</v>
      </c>
      <c r="K16" s="5">
        <f t="shared" si="1"/>
        <v>9.4300023909361874E-2</v>
      </c>
      <c r="L16" s="6">
        <f t="shared" si="2"/>
        <v>7.3484227818399916E-2</v>
      </c>
      <c r="M16" s="3">
        <f t="shared" si="3"/>
        <v>0.99938489803194186</v>
      </c>
      <c r="N16" s="3">
        <f t="shared" si="4"/>
        <v>0.99922177183699423</v>
      </c>
      <c r="O16" s="3">
        <f t="shared" si="5"/>
        <v>0.99953263273228155</v>
      </c>
    </row>
    <row r="17" spans="1:35" x14ac:dyDescent="0.4">
      <c r="A17">
        <f t="shared" si="6"/>
        <v>65</v>
      </c>
      <c r="B17">
        <v>5</v>
      </c>
      <c r="C17" t="s">
        <v>20</v>
      </c>
      <c r="D17">
        <v>2.6607314999999999E-2</v>
      </c>
      <c r="E17">
        <v>2.9694389000000002E-2</v>
      </c>
      <c r="F17">
        <v>2.3520396999999998E-2</v>
      </c>
      <c r="G17">
        <v>0.124739142</v>
      </c>
      <c r="H17">
        <v>0.13821166800000001</v>
      </c>
      <c r="I17">
        <v>0.111070905</v>
      </c>
      <c r="J17" s="4">
        <f t="shared" si="0"/>
        <v>0.12456692744141162</v>
      </c>
      <c r="K17" s="5">
        <f t="shared" si="1"/>
        <v>0.13797580908006413</v>
      </c>
      <c r="L17" s="6">
        <f t="shared" si="2"/>
        <v>0.11095016262485091</v>
      </c>
      <c r="M17" s="3">
        <f t="shared" si="3"/>
        <v>0.99861940241188785</v>
      </c>
      <c r="N17" s="3">
        <f t="shared" si="4"/>
        <v>0.998293494873849</v>
      </c>
      <c r="O17" s="3">
        <f t="shared" si="5"/>
        <v>0.99891292526022823</v>
      </c>
    </row>
    <row r="18" spans="1:35" x14ac:dyDescent="0.4">
      <c r="A18">
        <f t="shared" si="6"/>
        <v>70</v>
      </c>
      <c r="B18">
        <v>5</v>
      </c>
      <c r="C18" t="s">
        <v>21</v>
      </c>
      <c r="D18">
        <v>4.1230302000000003E-2</v>
      </c>
      <c r="E18">
        <v>4.4928562999999998E-2</v>
      </c>
      <c r="F18">
        <v>3.7806164000000003E-2</v>
      </c>
      <c r="G18">
        <v>0.186887897</v>
      </c>
      <c r="H18">
        <v>0.20195854499999999</v>
      </c>
      <c r="I18">
        <v>0.172707315</v>
      </c>
      <c r="J18" s="4">
        <f t="shared" si="0"/>
        <v>0.18629021822605552</v>
      </c>
      <c r="K18" s="5">
        <f t="shared" si="1"/>
        <v>0.2011985122811617</v>
      </c>
      <c r="L18" s="6">
        <f t="shared" si="2"/>
        <v>0.17223900529226099</v>
      </c>
      <c r="M18" s="3">
        <f t="shared" si="3"/>
        <v>0.9968019396465011</v>
      </c>
      <c r="N18" s="3">
        <f t="shared" si="4"/>
        <v>0.9962366894709096</v>
      </c>
      <c r="O18" s="3">
        <f t="shared" si="5"/>
        <v>0.99728841996218276</v>
      </c>
    </row>
    <row r="19" spans="1:35" x14ac:dyDescent="0.4">
      <c r="A19">
        <f t="shared" si="6"/>
        <v>75</v>
      </c>
      <c r="B19">
        <v>5</v>
      </c>
      <c r="C19" t="s">
        <v>22</v>
      </c>
      <c r="D19">
        <v>6.2868255999999997E-2</v>
      </c>
      <c r="E19">
        <v>6.8316935999999995E-2</v>
      </c>
      <c r="F19">
        <v>5.8071479000000002E-2</v>
      </c>
      <c r="G19">
        <v>0.27164643599999999</v>
      </c>
      <c r="H19">
        <v>0.29175513600000003</v>
      </c>
      <c r="I19">
        <v>0.253547672</v>
      </c>
      <c r="J19" s="4">
        <f t="shared" si="0"/>
        <v>0.2697302408368244</v>
      </c>
      <c r="K19" s="5">
        <f t="shared" si="1"/>
        <v>0.2893567122017302</v>
      </c>
      <c r="L19" s="6">
        <f t="shared" si="2"/>
        <v>0.25200381029656571</v>
      </c>
      <c r="M19" s="3">
        <f t="shared" si="3"/>
        <v>0.99294599556912433</v>
      </c>
      <c r="N19" s="3">
        <f t="shared" si="4"/>
        <v>0.99177932621460407</v>
      </c>
      <c r="O19" s="3">
        <f t="shared" si="5"/>
        <v>0.99391096084118535</v>
      </c>
    </row>
    <row r="20" spans="1:35" x14ac:dyDescent="0.4">
      <c r="A20">
        <f t="shared" si="6"/>
        <v>80</v>
      </c>
      <c r="B20">
        <v>5</v>
      </c>
      <c r="C20" t="s">
        <v>23</v>
      </c>
      <c r="D20">
        <v>0.10828625</v>
      </c>
      <c r="E20">
        <v>0.113038526</v>
      </c>
      <c r="F20">
        <v>0.10436274099999999</v>
      </c>
      <c r="G20">
        <v>0.42608372700000002</v>
      </c>
      <c r="H20">
        <v>0.44066291499999999</v>
      </c>
      <c r="I20">
        <v>0.41384001100000001</v>
      </c>
      <c r="J20" s="4">
        <f t="shared" si="0"/>
        <v>0.41808520947380856</v>
      </c>
      <c r="K20" s="5">
        <f t="shared" si="1"/>
        <v>0.43174932591333059</v>
      </c>
      <c r="L20" s="6">
        <f t="shared" si="2"/>
        <v>0.40655675966581972</v>
      </c>
      <c r="M20" s="3">
        <f t="shared" si="3"/>
        <v>0.98122782678768794</v>
      </c>
      <c r="N20" s="3">
        <f t="shared" si="4"/>
        <v>0.97977231851545898</v>
      </c>
      <c r="O20" s="3">
        <f t="shared" si="5"/>
        <v>0.98240080431908672</v>
      </c>
    </row>
    <row r="21" spans="1:35" x14ac:dyDescent="0.4">
      <c r="A21">
        <f t="shared" si="6"/>
        <v>85</v>
      </c>
      <c r="B21" t="s">
        <v>41</v>
      </c>
      <c r="C21" t="s">
        <v>24</v>
      </c>
      <c r="D21">
        <v>0.17864340400000001</v>
      </c>
      <c r="E21">
        <v>0.18579240999999999</v>
      </c>
      <c r="F21">
        <v>0.172897945</v>
      </c>
      <c r="G21">
        <v>1</v>
      </c>
      <c r="H21">
        <v>1</v>
      </c>
      <c r="I21">
        <v>1</v>
      </c>
      <c r="J21" s="4">
        <v>1</v>
      </c>
      <c r="K21" s="5">
        <v>1</v>
      </c>
      <c r="L21" s="6">
        <v>1</v>
      </c>
      <c r="M21" s="3">
        <f t="shared" si="3"/>
        <v>1</v>
      </c>
      <c r="N21" s="3">
        <f t="shared" si="4"/>
        <v>1</v>
      </c>
      <c r="O21" s="3">
        <f t="shared" si="5"/>
        <v>1</v>
      </c>
    </row>
    <row r="25" spans="1:35" x14ac:dyDescent="0.4">
      <c r="A25" t="s">
        <v>1</v>
      </c>
      <c r="B25" t="s">
        <v>39</v>
      </c>
      <c r="C25" t="s">
        <v>40</v>
      </c>
      <c r="D25" s="2" t="s">
        <v>44</v>
      </c>
      <c r="E25" s="2" t="s">
        <v>45</v>
      </c>
      <c r="F25" s="2" t="s">
        <v>48</v>
      </c>
      <c r="G25" s="2" t="s">
        <v>49</v>
      </c>
      <c r="H25" s="2" t="s">
        <v>50</v>
      </c>
      <c r="I25" s="2" t="s">
        <v>51</v>
      </c>
      <c r="J25" s="2" t="s">
        <v>52</v>
      </c>
      <c r="K25" s="2" t="s">
        <v>53</v>
      </c>
      <c r="M25" t="s">
        <v>1</v>
      </c>
      <c r="N25" t="s">
        <v>39</v>
      </c>
      <c r="O25" t="s">
        <v>40</v>
      </c>
      <c r="P25" s="2" t="s">
        <v>54</v>
      </c>
      <c r="Q25" s="2" t="s">
        <v>45</v>
      </c>
      <c r="R25" s="2" t="s">
        <v>48</v>
      </c>
      <c r="S25" s="2" t="s">
        <v>49</v>
      </c>
      <c r="T25" s="2" t="s">
        <v>50</v>
      </c>
      <c r="U25" s="2" t="s">
        <v>51</v>
      </c>
      <c r="V25" s="2" t="s">
        <v>52</v>
      </c>
      <c r="W25" s="2" t="s">
        <v>53</v>
      </c>
      <c r="Y25" t="s">
        <v>1</v>
      </c>
      <c r="Z25" t="s">
        <v>39</v>
      </c>
      <c r="AA25" t="s">
        <v>40</v>
      </c>
      <c r="AB25" s="2" t="s">
        <v>55</v>
      </c>
      <c r="AC25" s="2" t="s">
        <v>45</v>
      </c>
      <c r="AD25" s="2" t="s">
        <v>48</v>
      </c>
      <c r="AE25" s="2" t="s">
        <v>49</v>
      </c>
      <c r="AF25" s="2" t="s">
        <v>50</v>
      </c>
      <c r="AG25" s="2" t="s">
        <v>51</v>
      </c>
      <c r="AH25" s="2" t="s">
        <v>52</v>
      </c>
      <c r="AI25" s="2" t="s">
        <v>53</v>
      </c>
    </row>
    <row r="26" spans="1:35" x14ac:dyDescent="0.4">
      <c r="A26" t="s">
        <v>6</v>
      </c>
      <c r="B26">
        <v>0</v>
      </c>
      <c r="C26">
        <v>1</v>
      </c>
      <c r="D26">
        <v>2.8345842999999999E-2</v>
      </c>
      <c r="E26">
        <f>1-EXP(-C26*D26)</f>
        <v>2.7947868762983274E-2</v>
      </c>
      <c r="F26">
        <f>1-E26</f>
        <v>0.97205213123701673</v>
      </c>
      <c r="G26" s="7">
        <v>100000</v>
      </c>
      <c r="H26" s="7">
        <f>G26-G27</f>
        <v>2794.7868762983271</v>
      </c>
      <c r="I26">
        <f>1/2*(G26+G27)*C26</f>
        <v>98602.606561850844</v>
      </c>
      <c r="J26">
        <f>SUM(I26:I44)</f>
        <v>7091035.6587907514</v>
      </c>
      <c r="K26" s="10">
        <f>J26/G26</f>
        <v>70.910356587907515</v>
      </c>
      <c r="M26" t="s">
        <v>6</v>
      </c>
      <c r="N26">
        <v>0</v>
      </c>
      <c r="O26">
        <v>1</v>
      </c>
      <c r="P26">
        <v>2.8394243999999999E-2</v>
      </c>
      <c r="Q26">
        <f>1-EXP(-O26*P26)</f>
        <v>2.7994915919613339E-2</v>
      </c>
      <c r="R26">
        <f>1-Q26</f>
        <v>0.97200508408038666</v>
      </c>
      <c r="S26" s="7">
        <v>100000</v>
      </c>
      <c r="T26" s="7">
        <f>S26-S27</f>
        <v>2799.4915919613268</v>
      </c>
      <c r="U26">
        <f>1/2*(S26+S27)*O26</f>
        <v>98600.254204019337</v>
      </c>
      <c r="V26">
        <f>SUM(U26:U44)</f>
        <v>6962221.5067415154</v>
      </c>
      <c r="W26" s="10">
        <f>V26/S26</f>
        <v>69.622215067415155</v>
      </c>
      <c r="Y26" t="s">
        <v>6</v>
      </c>
      <c r="Z26">
        <v>0</v>
      </c>
      <c r="AA26">
        <v>1</v>
      </c>
      <c r="AB26">
        <v>2.8292624999999998E-2</v>
      </c>
      <c r="AC26">
        <f>1-EXP(-AA26*AB26)</f>
        <v>2.7896136716137332E-2</v>
      </c>
      <c r="AD26">
        <f>1-AC26</f>
        <v>0.97210386328386267</v>
      </c>
      <c r="AE26" s="7">
        <v>100000</v>
      </c>
      <c r="AF26" s="7">
        <f>AE26-AE27</f>
        <v>2789.6136716137262</v>
      </c>
      <c r="AG26">
        <f>1/2*(AE26+AE27)*AA26</f>
        <v>98605.19316419313</v>
      </c>
      <c r="AH26">
        <f>SUM(AG26:AG44)</f>
        <v>7231042.937184426</v>
      </c>
      <c r="AI26" s="10">
        <f>AH26/AE26</f>
        <v>72.310429371844265</v>
      </c>
    </row>
    <row r="27" spans="1:35" x14ac:dyDescent="0.4">
      <c r="A27" t="s">
        <v>7</v>
      </c>
      <c r="B27">
        <v>1</v>
      </c>
      <c r="C27">
        <v>4</v>
      </c>
      <c r="D27">
        <v>1.559223E-3</v>
      </c>
      <c r="E27">
        <f t="shared" ref="E27:E43" si="7">1-EXP(-C27*D27)</f>
        <v>6.2174829607472004E-3</v>
      </c>
      <c r="F27">
        <f t="shared" ref="F27:F44" si="8">1-E27</f>
        <v>0.9937825170392528</v>
      </c>
      <c r="G27" s="7">
        <f>G26*F26</f>
        <v>97205.213123701673</v>
      </c>
      <c r="H27" s="7">
        <f t="shared" ref="H27:H44" si="9">G27-G28</f>
        <v>604.37175629241392</v>
      </c>
      <c r="I27">
        <f t="shared" ref="I27:I43" si="10">1/2*(G27+G28)*C27</f>
        <v>387612.10898222186</v>
      </c>
      <c r="J27">
        <f t="shared" ref="J27:J44" si="11">SUM(I27:I45)</f>
        <v>6992433.0522289006</v>
      </c>
      <c r="K27" s="10">
        <f t="shared" ref="K27:K44" si="12">J27/G27</f>
        <v>71.934753574692039</v>
      </c>
      <c r="M27" t="s">
        <v>7</v>
      </c>
      <c r="N27">
        <v>1</v>
      </c>
      <c r="O27">
        <v>4</v>
      </c>
      <c r="P27">
        <v>1.3958969999999999E-3</v>
      </c>
      <c r="Q27">
        <f t="shared" ref="Q27:Q43" si="13">1-EXP(-O27*P27)</f>
        <v>5.5680287448161003E-3</v>
      </c>
      <c r="R27">
        <f t="shared" ref="R27:R44" si="14">1-Q27</f>
        <v>0.9944319712551839</v>
      </c>
      <c r="S27" s="7">
        <f>S26*R26</f>
        <v>97200.508408038673</v>
      </c>
      <c r="T27" s="7">
        <f>S27-S28</f>
        <v>541.21522482669388</v>
      </c>
      <c r="U27">
        <f t="shared" ref="U27:U43" si="15">1/2*(S27+S28)*O27</f>
        <v>387719.60318250128</v>
      </c>
      <c r="V27">
        <f t="shared" ref="V27:V44" si="16">SUM(U27:U45)</f>
        <v>6863621.2525374955</v>
      </c>
      <c r="W27" s="10">
        <f t="shared" ref="W27:W44" si="17">V27/S27</f>
        <v>70.613018027896047</v>
      </c>
      <c r="Y27" t="s">
        <v>7</v>
      </c>
      <c r="Z27">
        <v>1</v>
      </c>
      <c r="AA27">
        <v>4</v>
      </c>
      <c r="AB27">
        <v>1.739006E-3</v>
      </c>
      <c r="AC27">
        <f t="shared" ref="AC27:AC43" si="18">1-EXP(-AA27*AB27)</f>
        <v>6.9318868636490949E-3</v>
      </c>
      <c r="AD27">
        <f t="shared" ref="AD27:AD44" si="19">1-AC27</f>
        <v>0.99306811313635091</v>
      </c>
      <c r="AE27" s="7">
        <f>AE26*AD26</f>
        <v>97210.386328386274</v>
      </c>
      <c r="AF27" s="7">
        <f>AE27-AE28</f>
        <v>673.85139999999956</v>
      </c>
      <c r="AG27">
        <f t="shared" ref="AG27:AG43" si="20">1/2*(AE27+AE28)*AA27</f>
        <v>387493.84251354507</v>
      </c>
      <c r="AH27">
        <f t="shared" ref="AH27:AH44" si="21">SUM(AG27:AG45)</f>
        <v>7132437.7440202339</v>
      </c>
      <c r="AI27" s="10">
        <f t="shared" ref="AI27:AI44" si="22">AH27/AE27</f>
        <v>73.371149044981223</v>
      </c>
    </row>
    <row r="28" spans="1:35" x14ac:dyDescent="0.4">
      <c r="A28" t="s">
        <v>8</v>
      </c>
      <c r="B28">
        <v>5</v>
      </c>
      <c r="C28">
        <v>5</v>
      </c>
      <c r="D28">
        <v>5.58316E-4</v>
      </c>
      <c r="E28">
        <f t="shared" si="7"/>
        <v>2.7876871637821932E-3</v>
      </c>
      <c r="F28">
        <f t="shared" si="8"/>
        <v>0.99721231283621781</v>
      </c>
      <c r="G28" s="7">
        <f t="shared" ref="G28:G44" si="23">G27*F27</f>
        <v>96600.841367409259</v>
      </c>
      <c r="H28" s="7">
        <f t="shared" si="9"/>
        <v>269.29292549048841</v>
      </c>
      <c r="I28">
        <f t="shared" si="10"/>
        <v>482330.97452332004</v>
      </c>
      <c r="J28">
        <f t="shared" si="11"/>
        <v>6604820.9432466784</v>
      </c>
      <c r="K28" s="10">
        <f t="shared" si="12"/>
        <v>68.372292101743355</v>
      </c>
      <c r="M28" t="s">
        <v>8</v>
      </c>
      <c r="N28">
        <v>5</v>
      </c>
      <c r="O28">
        <v>5</v>
      </c>
      <c r="P28">
        <v>4.9988699999999997E-4</v>
      </c>
      <c r="Q28">
        <f t="shared" si="13"/>
        <v>2.4963140131164518E-3</v>
      </c>
      <c r="R28">
        <f t="shared" si="14"/>
        <v>0.99750368598688355</v>
      </c>
      <c r="S28" s="7">
        <f t="shared" ref="S28:S44" si="24">S27*R27</f>
        <v>96659.293183211979</v>
      </c>
      <c r="T28" s="7">
        <f>S28-S29</f>
        <v>241.2919480711862</v>
      </c>
      <c r="U28">
        <f t="shared" si="15"/>
        <v>482693.23604588193</v>
      </c>
      <c r="V28">
        <f t="shared" si="16"/>
        <v>6475901.6493549934</v>
      </c>
      <c r="W28" s="10">
        <f t="shared" si="17"/>
        <v>66.997196400767223</v>
      </c>
      <c r="Y28" t="s">
        <v>8</v>
      </c>
      <c r="Z28">
        <v>5</v>
      </c>
      <c r="AA28">
        <v>5</v>
      </c>
      <c r="AB28">
        <v>6.2275899999999996E-4</v>
      </c>
      <c r="AC28">
        <f t="shared" si="18"/>
        <v>3.1089521681815224E-3</v>
      </c>
      <c r="AD28">
        <f t="shared" si="19"/>
        <v>0.99689104783181848</v>
      </c>
      <c r="AE28" s="7">
        <f t="shared" ref="AE28:AE44" si="25">AE27*AD27</f>
        <v>96536.534928386274</v>
      </c>
      <c r="AF28" s="7">
        <f>AE28-AE29</f>
        <v>300.1274695743341</v>
      </c>
      <c r="AG28">
        <f t="shared" si="20"/>
        <v>481932.35596799554</v>
      </c>
      <c r="AH28">
        <f t="shared" si="21"/>
        <v>6744943.9015066875</v>
      </c>
      <c r="AI28" s="10">
        <f t="shared" si="22"/>
        <v>69.869339173094318</v>
      </c>
    </row>
    <row r="29" spans="1:35" x14ac:dyDescent="0.4">
      <c r="A29" t="s">
        <v>9</v>
      </c>
      <c r="B29">
        <f>B28+5</f>
        <v>10</v>
      </c>
      <c r="C29">
        <v>5</v>
      </c>
      <c r="D29">
        <v>5.4242799999999996E-4</v>
      </c>
      <c r="E29">
        <f t="shared" si="7"/>
        <v>2.7084654710065603E-3</v>
      </c>
      <c r="F29">
        <f t="shared" si="8"/>
        <v>0.99729153452899344</v>
      </c>
      <c r="G29" s="7">
        <f t="shared" si="23"/>
        <v>96331.548441918771</v>
      </c>
      <c r="H29" s="7">
        <f t="shared" si="9"/>
        <v>260.91067272353393</v>
      </c>
      <c r="I29">
        <f t="shared" si="10"/>
        <v>481005.46552778501</v>
      </c>
      <c r="J29">
        <f t="shared" si="11"/>
        <v>6122489.9687233577</v>
      </c>
      <c r="K29" s="10">
        <f t="shared" si="12"/>
        <v>63.556436782647523</v>
      </c>
      <c r="M29" t="s">
        <v>9</v>
      </c>
      <c r="N29">
        <f>N28+5</f>
        <v>10</v>
      </c>
      <c r="O29">
        <v>5</v>
      </c>
      <c r="P29">
        <v>5.3676699999999995E-4</v>
      </c>
      <c r="Q29">
        <f t="shared" si="13"/>
        <v>2.6802367346163702E-3</v>
      </c>
      <c r="R29">
        <f t="shared" si="14"/>
        <v>0.99731976326538363</v>
      </c>
      <c r="S29" s="7">
        <f t="shared" si="24"/>
        <v>96418.001235140793</v>
      </c>
      <c r="T29" s="7">
        <f>S29-S30</f>
        <v>258.4230687887175</v>
      </c>
      <c r="U29">
        <f t="shared" si="15"/>
        <v>481443.94850373216</v>
      </c>
      <c r="V29">
        <f t="shared" si="16"/>
        <v>5993208.4133091122</v>
      </c>
      <c r="W29" s="10">
        <f t="shared" si="17"/>
        <v>62.158604581452465</v>
      </c>
      <c r="Y29" t="s">
        <v>9</v>
      </c>
      <c r="Z29">
        <f>Z28+5</f>
        <v>10</v>
      </c>
      <c r="AA29">
        <v>5</v>
      </c>
      <c r="AB29">
        <v>5.4871300000000004E-4</v>
      </c>
      <c r="AC29">
        <f t="shared" si="18"/>
        <v>2.7398048650563167E-3</v>
      </c>
      <c r="AD29">
        <f t="shared" si="19"/>
        <v>0.99726019513494368</v>
      </c>
      <c r="AE29" s="7">
        <f t="shared" si="25"/>
        <v>96236.40745881194</v>
      </c>
      <c r="AF29" s="7">
        <f>AE29-AE30</f>
        <v>263.66897735118982</v>
      </c>
      <c r="AG29">
        <f t="shared" si="20"/>
        <v>480522.86485068174</v>
      </c>
      <c r="AH29">
        <f t="shared" si="21"/>
        <v>6263011.5455386927</v>
      </c>
      <c r="AI29" s="10">
        <f t="shared" si="22"/>
        <v>65.079440420915432</v>
      </c>
    </row>
    <row r="30" spans="1:35" x14ac:dyDescent="0.4">
      <c r="A30" t="s">
        <v>10</v>
      </c>
      <c r="B30">
        <f t="shared" ref="B30:B44" si="26">B29+5</f>
        <v>15</v>
      </c>
      <c r="C30">
        <v>5</v>
      </c>
      <c r="D30">
        <v>8.3872700000000005E-4</v>
      </c>
      <c r="E30">
        <f t="shared" si="7"/>
        <v>4.184853991812898E-3</v>
      </c>
      <c r="F30">
        <f t="shared" si="8"/>
        <v>0.9958151460081871</v>
      </c>
      <c r="G30" s="7">
        <f t="shared" si="23"/>
        <v>96070.637769195237</v>
      </c>
      <c r="H30" s="7">
        <f t="shared" si="9"/>
        <v>402.04159196442924</v>
      </c>
      <c r="I30">
        <f t="shared" si="10"/>
        <v>479348.08486606512</v>
      </c>
      <c r="J30">
        <f>SUM(I30:I48)</f>
        <v>5641484.5031955726</v>
      </c>
      <c r="K30" s="10">
        <f t="shared" si="12"/>
        <v>58.722255146769704</v>
      </c>
      <c r="M30" t="s">
        <v>10</v>
      </c>
      <c r="N30">
        <f t="shared" ref="N30:N44" si="27">N29+5</f>
        <v>15</v>
      </c>
      <c r="O30">
        <v>5</v>
      </c>
      <c r="P30">
        <v>7.9171899999999997E-4</v>
      </c>
      <c r="Q30">
        <f t="shared" si="13"/>
        <v>3.9507700914328536E-3</v>
      </c>
      <c r="R30">
        <f t="shared" si="14"/>
        <v>0.99604922990856715</v>
      </c>
      <c r="S30" s="7">
        <f t="shared" si="24"/>
        <v>96159.578166352076</v>
      </c>
      <c r="T30" s="7">
        <f>S30-S31</f>
        <v>379.9043854244228</v>
      </c>
      <c r="U30">
        <f t="shared" si="15"/>
        <v>479848.12986819935</v>
      </c>
      <c r="V30">
        <f t="shared" si="16"/>
        <v>5511764.4648053804</v>
      </c>
      <c r="W30" s="10">
        <f t="shared" si="17"/>
        <v>57.318933484402947</v>
      </c>
      <c r="Y30" t="s">
        <v>10</v>
      </c>
      <c r="Z30">
        <f t="shared" ref="Z30:Z44" si="28">Z29+5</f>
        <v>15</v>
      </c>
      <c r="AA30">
        <v>5</v>
      </c>
      <c r="AB30">
        <v>8.9158200000000003E-4</v>
      </c>
      <c r="AC30">
        <f t="shared" si="18"/>
        <v>4.4479882680873439E-3</v>
      </c>
      <c r="AD30">
        <f t="shared" si="19"/>
        <v>0.99555201173191266</v>
      </c>
      <c r="AE30" s="7">
        <f t="shared" si="25"/>
        <v>95972.73848146075</v>
      </c>
      <c r="AF30" s="7">
        <f>AE30-AE31</f>
        <v>426.88561482174555</v>
      </c>
      <c r="AG30">
        <f t="shared" si="20"/>
        <v>478796.47837024939</v>
      </c>
      <c r="AH30">
        <f t="shared" si="21"/>
        <v>5782488.6806880115</v>
      </c>
      <c r="AI30" s="10">
        <f t="shared" si="22"/>
        <v>60.251366921295329</v>
      </c>
    </row>
    <row r="31" spans="1:35" x14ac:dyDescent="0.4">
      <c r="A31" t="s">
        <v>11</v>
      </c>
      <c r="B31">
        <f t="shared" si="26"/>
        <v>20</v>
      </c>
      <c r="C31">
        <v>5</v>
      </c>
      <c r="D31">
        <v>1.301223E-3</v>
      </c>
      <c r="E31">
        <f t="shared" si="7"/>
        <v>6.4849960593768019E-3</v>
      </c>
      <c r="F31">
        <f t="shared" si="8"/>
        <v>0.9935150039406232</v>
      </c>
      <c r="G31" s="7">
        <f t="shared" si="23"/>
        <v>95668.596177230807</v>
      </c>
      <c r="H31" s="7">
        <f t="shared" si="9"/>
        <v>620.41046921545058</v>
      </c>
      <c r="I31">
        <f t="shared" si="10"/>
        <v>476791.95471311541</v>
      </c>
      <c r="J31">
        <f t="shared" si="11"/>
        <v>5162136.4183295071</v>
      </c>
      <c r="K31" s="10">
        <f t="shared" si="12"/>
        <v>53.958525833977895</v>
      </c>
      <c r="M31" t="s">
        <v>11</v>
      </c>
      <c r="N31">
        <f t="shared" si="27"/>
        <v>20</v>
      </c>
      <c r="O31">
        <v>5</v>
      </c>
      <c r="P31">
        <v>1.366967E-3</v>
      </c>
      <c r="Q31">
        <f t="shared" si="13"/>
        <v>6.8115306393082831E-3</v>
      </c>
      <c r="R31">
        <f t="shared" si="14"/>
        <v>0.99318846936069172</v>
      </c>
      <c r="S31" s="7">
        <f t="shared" si="24"/>
        <v>95779.673780927653</v>
      </c>
      <c r="T31" s="7">
        <f>S31-S32</f>
        <v>652.406182581748</v>
      </c>
      <c r="U31">
        <f t="shared" si="15"/>
        <v>477267.35344818386</v>
      </c>
      <c r="V31">
        <f t="shared" si="16"/>
        <v>5031916.3349371804</v>
      </c>
      <c r="W31" s="10">
        <f t="shared" si="17"/>
        <v>52.536369527071543</v>
      </c>
      <c r="Y31" t="s">
        <v>11</v>
      </c>
      <c r="Z31">
        <f t="shared" si="28"/>
        <v>20</v>
      </c>
      <c r="AA31">
        <v>5</v>
      </c>
      <c r="AB31">
        <v>1.2272679999999999E-3</v>
      </c>
      <c r="AC31">
        <f t="shared" si="18"/>
        <v>6.1175511170047381E-3</v>
      </c>
      <c r="AD31">
        <f t="shared" si="19"/>
        <v>0.99388244888299526</v>
      </c>
      <c r="AE31" s="7">
        <f t="shared" si="25"/>
        <v>95545.852866639005</v>
      </c>
      <c r="AF31" s="7">
        <f>AE31-AE32</f>
        <v>584.50663892948069</v>
      </c>
      <c r="AG31">
        <f t="shared" si="20"/>
        <v>476267.99773587135</v>
      </c>
      <c r="AH31">
        <f t="shared" si="21"/>
        <v>5303692.2023177622</v>
      </c>
      <c r="AI31" s="10">
        <f t="shared" si="22"/>
        <v>55.509392016423256</v>
      </c>
    </row>
    <row r="32" spans="1:35" x14ac:dyDescent="0.4">
      <c r="A32" t="s">
        <v>12</v>
      </c>
      <c r="B32">
        <f t="shared" si="26"/>
        <v>25</v>
      </c>
      <c r="C32">
        <v>5</v>
      </c>
      <c r="D32">
        <v>1.498421E-3</v>
      </c>
      <c r="E32">
        <f t="shared" si="7"/>
        <v>7.4641091409360927E-3</v>
      </c>
      <c r="F32">
        <f t="shared" si="8"/>
        <v>0.99253589085906391</v>
      </c>
      <c r="G32" s="7">
        <f t="shared" si="23"/>
        <v>95048.185708015357</v>
      </c>
      <c r="H32" s="7">
        <f t="shared" si="9"/>
        <v>709.45003177259059</v>
      </c>
      <c r="I32">
        <f t="shared" si="10"/>
        <v>473467.30346064537</v>
      </c>
      <c r="J32">
        <f t="shared" si="11"/>
        <v>4685344.4636163916</v>
      </c>
      <c r="K32" s="10">
        <f t="shared" si="12"/>
        <v>49.294412394252355</v>
      </c>
      <c r="M32" t="s">
        <v>12</v>
      </c>
      <c r="N32">
        <f t="shared" si="27"/>
        <v>25</v>
      </c>
      <c r="O32">
        <v>5</v>
      </c>
      <c r="P32">
        <v>1.682876E-3</v>
      </c>
      <c r="Q32">
        <f t="shared" si="13"/>
        <v>8.3790781882836507E-3</v>
      </c>
      <c r="R32">
        <f t="shared" si="14"/>
        <v>0.99162092181171635</v>
      </c>
      <c r="S32" s="7">
        <f t="shared" si="24"/>
        <v>95127.267598345905</v>
      </c>
      <c r="T32" s="7">
        <f>S32-S33</f>
        <v>797.07881304432522</v>
      </c>
      <c r="U32">
        <f t="shared" si="15"/>
        <v>473643.64095911873</v>
      </c>
      <c r="V32">
        <f t="shared" si="16"/>
        <v>4554648.981488998</v>
      </c>
      <c r="W32" s="10">
        <f t="shared" si="17"/>
        <v>47.879531247759665</v>
      </c>
      <c r="Y32" t="s">
        <v>12</v>
      </c>
      <c r="Z32">
        <f t="shared" si="28"/>
        <v>25</v>
      </c>
      <c r="AA32">
        <v>5</v>
      </c>
      <c r="AB32">
        <v>1.2921149999999999E-3</v>
      </c>
      <c r="AC32">
        <f t="shared" si="18"/>
        <v>6.4397503558605296E-3</v>
      </c>
      <c r="AD32">
        <f t="shared" si="19"/>
        <v>0.99356024964413947</v>
      </c>
      <c r="AE32" s="7">
        <f t="shared" si="25"/>
        <v>94961.346227709524</v>
      </c>
      <c r="AF32" s="7">
        <f>AE32-AE33</f>
        <v>611.52736316288065</v>
      </c>
      <c r="AG32">
        <f t="shared" si="20"/>
        <v>473277.91273064038</v>
      </c>
      <c r="AH32">
        <f t="shared" si="21"/>
        <v>4827424.2045818912</v>
      </c>
      <c r="AI32" s="10">
        <f t="shared" si="22"/>
        <v>50.835675739117299</v>
      </c>
    </row>
    <row r="33" spans="1:35" x14ac:dyDescent="0.4">
      <c r="A33" t="s">
        <v>13</v>
      </c>
      <c r="B33">
        <f t="shared" si="26"/>
        <v>30</v>
      </c>
      <c r="C33">
        <v>5</v>
      </c>
      <c r="D33">
        <v>1.90733E-3</v>
      </c>
      <c r="E33">
        <f t="shared" si="7"/>
        <v>9.491320365453082E-3</v>
      </c>
      <c r="F33">
        <f t="shared" si="8"/>
        <v>0.99050867963454692</v>
      </c>
      <c r="G33" s="7">
        <f t="shared" si="23"/>
        <v>94338.735676242766</v>
      </c>
      <c r="H33" s="7">
        <f t="shared" si="9"/>
        <v>895.39916317502502</v>
      </c>
      <c r="I33">
        <f t="shared" si="10"/>
        <v>469455.1804732763</v>
      </c>
      <c r="J33">
        <f t="shared" si="11"/>
        <v>4211877.1601557462</v>
      </c>
      <c r="K33" s="10">
        <f t="shared" si="12"/>
        <v>44.646317654821182</v>
      </c>
      <c r="M33" t="s">
        <v>13</v>
      </c>
      <c r="N33">
        <f t="shared" si="27"/>
        <v>30</v>
      </c>
      <c r="O33">
        <v>5</v>
      </c>
      <c r="P33">
        <v>2.3089500000000002E-3</v>
      </c>
      <c r="Q33">
        <f t="shared" si="13"/>
        <v>1.14783650850524E-2</v>
      </c>
      <c r="R33">
        <f t="shared" si="14"/>
        <v>0.9885216349149476</v>
      </c>
      <c r="S33" s="7">
        <f t="shared" si="24"/>
        <v>94330.18878530158</v>
      </c>
      <c r="T33" s="7">
        <f>S33-S34</f>
        <v>1082.7563454196061</v>
      </c>
      <c r="U33">
        <f t="shared" si="15"/>
        <v>468944.05306295888</v>
      </c>
      <c r="V33">
        <f t="shared" si="16"/>
        <v>4081005.3405298791</v>
      </c>
      <c r="W33" s="10">
        <f t="shared" si="17"/>
        <v>43.262982859266543</v>
      </c>
      <c r="Y33" t="s">
        <v>13</v>
      </c>
      <c r="Z33">
        <f t="shared" si="28"/>
        <v>30</v>
      </c>
      <c r="AA33">
        <v>5</v>
      </c>
      <c r="AB33">
        <v>1.4644549999999999E-3</v>
      </c>
      <c r="AC33">
        <f t="shared" si="18"/>
        <v>7.2955324563074297E-3</v>
      </c>
      <c r="AD33">
        <f t="shared" si="19"/>
        <v>0.99270446754369257</v>
      </c>
      <c r="AE33" s="7">
        <f t="shared" si="25"/>
        <v>94349.818864546643</v>
      </c>
      <c r="AF33" s="7">
        <f>AE33-AE34</f>
        <v>688.33216577302665</v>
      </c>
      <c r="AG33">
        <f t="shared" si="20"/>
        <v>470028.26390830067</v>
      </c>
      <c r="AH33">
        <f t="shared" si="21"/>
        <v>4354146.2918512505</v>
      </c>
      <c r="AI33" s="10">
        <f t="shared" si="22"/>
        <v>46.148962915363754</v>
      </c>
    </row>
    <row r="34" spans="1:35" x14ac:dyDescent="0.4">
      <c r="A34" t="s">
        <v>14</v>
      </c>
      <c r="B34">
        <f t="shared" si="26"/>
        <v>35</v>
      </c>
      <c r="C34">
        <v>5</v>
      </c>
      <c r="D34">
        <v>2.5478020000000001E-3</v>
      </c>
      <c r="E34">
        <f t="shared" si="7"/>
        <v>1.265821227038566E-2</v>
      </c>
      <c r="F34">
        <f t="shared" si="8"/>
        <v>0.98734178772961434</v>
      </c>
      <c r="G34" s="7">
        <f t="shared" si="23"/>
        <v>93443.336513067741</v>
      </c>
      <c r="H34" s="7">
        <f t="shared" si="9"/>
        <v>1182.8255888354906</v>
      </c>
      <c r="I34">
        <f t="shared" si="10"/>
        <v>464259.61859324999</v>
      </c>
      <c r="J34">
        <f t="shared" si="11"/>
        <v>3742421.9796824697</v>
      </c>
      <c r="K34" s="10">
        <f t="shared" si="12"/>
        <v>40.050174997326906</v>
      </c>
      <c r="M34" t="s">
        <v>14</v>
      </c>
      <c r="N34">
        <f t="shared" si="27"/>
        <v>35</v>
      </c>
      <c r="O34">
        <v>5</v>
      </c>
      <c r="P34">
        <v>3.1896009999999998E-3</v>
      </c>
      <c r="Q34">
        <f t="shared" si="13"/>
        <v>1.5821508914401261E-2</v>
      </c>
      <c r="R34">
        <f t="shared" si="14"/>
        <v>0.98417849108559874</v>
      </c>
      <c r="S34" s="7">
        <f t="shared" si="24"/>
        <v>93247.432439881974</v>
      </c>
      <c r="T34" s="7">
        <f>S34-S35</f>
        <v>1475.3150835926208</v>
      </c>
      <c r="U34">
        <f t="shared" si="15"/>
        <v>462548.87449042825</v>
      </c>
      <c r="V34">
        <f t="shared" si="16"/>
        <v>3612061.2874669195</v>
      </c>
      <c r="W34" s="10">
        <f t="shared" si="17"/>
        <v>38.736308260237301</v>
      </c>
      <c r="Y34" t="s">
        <v>14</v>
      </c>
      <c r="Z34">
        <f t="shared" si="28"/>
        <v>35</v>
      </c>
      <c r="AA34">
        <v>5</v>
      </c>
      <c r="AB34">
        <v>1.8485839999999999E-3</v>
      </c>
      <c r="AC34">
        <f t="shared" si="18"/>
        <v>9.2003355175863666E-3</v>
      </c>
      <c r="AD34">
        <f t="shared" si="19"/>
        <v>0.99079966448241363</v>
      </c>
      <c r="AE34" s="7">
        <f t="shared" si="25"/>
        <v>93661.486698773617</v>
      </c>
      <c r="AF34" s="7">
        <f>AE34-AE35</f>
        <v>861.71710270467156</v>
      </c>
      <c r="AG34">
        <f t="shared" si="20"/>
        <v>466153.14073710644</v>
      </c>
      <c r="AH34">
        <f t="shared" si="21"/>
        <v>3884118.0279429504</v>
      </c>
      <c r="AI34" s="10">
        <f t="shared" si="22"/>
        <v>41.469745621642026</v>
      </c>
    </row>
    <row r="35" spans="1:35" x14ac:dyDescent="0.4">
      <c r="A35" t="s">
        <v>15</v>
      </c>
      <c r="B35">
        <f t="shared" si="26"/>
        <v>40</v>
      </c>
      <c r="C35">
        <v>5</v>
      </c>
      <c r="D35">
        <v>3.3589570000000001E-3</v>
      </c>
      <c r="E35">
        <f t="shared" si="7"/>
        <v>1.6654538830770393E-2</v>
      </c>
      <c r="F35">
        <f t="shared" si="8"/>
        <v>0.98334546116922961</v>
      </c>
      <c r="G35" s="7">
        <f t="shared" si="23"/>
        <v>92260.510924232251</v>
      </c>
      <c r="H35" s="7">
        <f t="shared" si="9"/>
        <v>1536.5562617343385</v>
      </c>
      <c r="I35">
        <f t="shared" si="10"/>
        <v>457461.16396682541</v>
      </c>
      <c r="J35">
        <f t="shared" si="11"/>
        <v>3278162.3610892193</v>
      </c>
      <c r="K35" s="10">
        <f t="shared" si="12"/>
        <v>35.531586897251934</v>
      </c>
      <c r="M35" t="s">
        <v>15</v>
      </c>
      <c r="N35">
        <f t="shared" si="27"/>
        <v>40</v>
      </c>
      <c r="O35">
        <v>5</v>
      </c>
      <c r="P35">
        <v>4.0587970000000003E-3</v>
      </c>
      <c r="Q35">
        <f t="shared" si="13"/>
        <v>2.008944804646362E-2</v>
      </c>
      <c r="R35">
        <f t="shared" si="14"/>
        <v>0.97991055195353638</v>
      </c>
      <c r="S35" s="7">
        <f t="shared" si="24"/>
        <v>91772.117356289353</v>
      </c>
      <c r="T35" s="7">
        <f>S35-S36</f>
        <v>1843.6511837431317</v>
      </c>
      <c r="U35">
        <f t="shared" si="15"/>
        <v>454251.4588220889</v>
      </c>
      <c r="V35">
        <f t="shared" si="16"/>
        <v>3149512.4129764917</v>
      </c>
      <c r="W35" s="10">
        <f t="shared" si="17"/>
        <v>34.318837831201556</v>
      </c>
      <c r="Y35" t="s">
        <v>15</v>
      </c>
      <c r="Z35">
        <f t="shared" si="28"/>
        <v>40</v>
      </c>
      <c r="AA35">
        <v>5</v>
      </c>
      <c r="AB35">
        <v>2.611712E-3</v>
      </c>
      <c r="AC35">
        <f t="shared" si="18"/>
        <v>1.2973666934201433E-2</v>
      </c>
      <c r="AD35">
        <f t="shared" si="19"/>
        <v>0.98702633306579857</v>
      </c>
      <c r="AE35" s="7">
        <f t="shared" si="25"/>
        <v>92799.769596068945</v>
      </c>
      <c r="AF35" s="7">
        <f>AE35-AE36</f>
        <v>1203.9533023100375</v>
      </c>
      <c r="AG35">
        <f t="shared" si="20"/>
        <v>460988.9647245697</v>
      </c>
      <c r="AH35">
        <f t="shared" si="21"/>
        <v>3417964.8872058438</v>
      </c>
      <c r="AI35" s="10">
        <f t="shared" si="22"/>
        <v>36.831609626653972</v>
      </c>
    </row>
    <row r="36" spans="1:35" x14ac:dyDescent="0.4">
      <c r="A36" t="s">
        <v>16</v>
      </c>
      <c r="B36">
        <f t="shared" si="26"/>
        <v>45</v>
      </c>
      <c r="C36">
        <v>5</v>
      </c>
      <c r="D36">
        <v>4.7905020000000003E-3</v>
      </c>
      <c r="E36">
        <f t="shared" si="7"/>
        <v>2.3667925332808259E-2</v>
      </c>
      <c r="F36">
        <f t="shared" si="8"/>
        <v>0.97633207466719174</v>
      </c>
      <c r="G36" s="7">
        <f t="shared" si="23"/>
        <v>90723.954662497912</v>
      </c>
      <c r="H36" s="7">
        <f t="shared" si="9"/>
        <v>2147.2477848490817</v>
      </c>
      <c r="I36">
        <f t="shared" si="10"/>
        <v>448251.65385036683</v>
      </c>
      <c r="J36">
        <f t="shared" si="11"/>
        <v>2820701.1971223941</v>
      </c>
      <c r="K36" s="10">
        <f t="shared" si="12"/>
        <v>31.091030010934617</v>
      </c>
      <c r="M36" t="s">
        <v>16</v>
      </c>
      <c r="N36">
        <f t="shared" si="27"/>
        <v>45</v>
      </c>
      <c r="O36">
        <v>5</v>
      </c>
      <c r="P36">
        <v>5.9774629999999997E-3</v>
      </c>
      <c r="Q36">
        <f t="shared" si="13"/>
        <v>2.9445105634997804E-2</v>
      </c>
      <c r="R36">
        <f t="shared" si="14"/>
        <v>0.9705548943650022</v>
      </c>
      <c r="S36" s="7">
        <f t="shared" si="24"/>
        <v>89928.466172546221</v>
      </c>
      <c r="T36" s="7">
        <f>S36-S37</f>
        <v>2647.9531860439456</v>
      </c>
      <c r="U36">
        <f t="shared" si="15"/>
        <v>443022.44789762126</v>
      </c>
      <c r="V36">
        <f t="shared" si="16"/>
        <v>2695260.9541544025</v>
      </c>
      <c r="W36" s="10">
        <f t="shared" si="17"/>
        <v>29.97116562605428</v>
      </c>
      <c r="Y36" t="s">
        <v>16</v>
      </c>
      <c r="Z36">
        <f t="shared" si="28"/>
        <v>45</v>
      </c>
      <c r="AA36">
        <v>5</v>
      </c>
      <c r="AB36">
        <v>3.5395130000000002E-3</v>
      </c>
      <c r="AC36">
        <f t="shared" si="18"/>
        <v>1.7541882847722623E-2</v>
      </c>
      <c r="AD36">
        <f t="shared" si="19"/>
        <v>0.98245811715227738</v>
      </c>
      <c r="AE36" s="7">
        <f t="shared" si="25"/>
        <v>91595.816293758908</v>
      </c>
      <c r="AF36" s="7">
        <f>AE36-AE37</f>
        <v>1606.7630787666421</v>
      </c>
      <c r="AG36">
        <f t="shared" si="20"/>
        <v>453962.17377187795</v>
      </c>
      <c r="AH36">
        <f t="shared" si="21"/>
        <v>2956975.9224812738</v>
      </c>
      <c r="AI36" s="10">
        <f t="shared" si="22"/>
        <v>32.282871010155013</v>
      </c>
    </row>
    <row r="37" spans="1:35" x14ac:dyDescent="0.4">
      <c r="A37" t="s">
        <v>17</v>
      </c>
      <c r="B37">
        <f t="shared" si="26"/>
        <v>50</v>
      </c>
      <c r="C37">
        <v>5</v>
      </c>
      <c r="D37">
        <v>7.797099E-3</v>
      </c>
      <c r="E37">
        <f t="shared" si="7"/>
        <v>3.8235340558422815E-2</v>
      </c>
      <c r="F37">
        <f t="shared" si="8"/>
        <v>0.96176465944157719</v>
      </c>
      <c r="G37" s="7">
        <f t="shared" si="23"/>
        <v>88576.70687764883</v>
      </c>
      <c r="H37" s="7">
        <f t="shared" si="9"/>
        <v>3386.760553010492</v>
      </c>
      <c r="I37">
        <f t="shared" si="10"/>
        <v>434416.63300571789</v>
      </c>
      <c r="J37">
        <f t="shared" si="11"/>
        <v>2372449.5432720273</v>
      </c>
      <c r="K37" s="10">
        <f t="shared" si="12"/>
        <v>26.784124482626073</v>
      </c>
      <c r="M37" t="s">
        <v>17</v>
      </c>
      <c r="N37">
        <f t="shared" si="27"/>
        <v>50</v>
      </c>
      <c r="O37">
        <v>5</v>
      </c>
      <c r="P37">
        <v>8.6974249999999999E-3</v>
      </c>
      <c r="Q37">
        <f t="shared" si="13"/>
        <v>4.2555118885544085E-2</v>
      </c>
      <c r="R37">
        <f t="shared" si="14"/>
        <v>0.95744488111445591</v>
      </c>
      <c r="S37" s="7">
        <f t="shared" si="24"/>
        <v>87280.512986502275</v>
      </c>
      <c r="T37" s="7">
        <f>S37-S38</f>
        <v>3714.2326065318775</v>
      </c>
      <c r="U37">
        <f t="shared" si="15"/>
        <v>427116.9834161817</v>
      </c>
      <c r="V37">
        <f t="shared" si="16"/>
        <v>2252238.5062567815</v>
      </c>
      <c r="W37" s="10">
        <f t="shared" si="17"/>
        <v>25.804597489076226</v>
      </c>
      <c r="Y37" t="s">
        <v>17</v>
      </c>
      <c r="Z37">
        <f t="shared" si="28"/>
        <v>50</v>
      </c>
      <c r="AA37">
        <v>5</v>
      </c>
      <c r="AB37">
        <v>6.8547770000000003E-3</v>
      </c>
      <c r="AC37">
        <f t="shared" si="18"/>
        <v>3.3693188549639541E-2</v>
      </c>
      <c r="AD37">
        <f t="shared" si="19"/>
        <v>0.96630681145036046</v>
      </c>
      <c r="AE37" s="7">
        <f t="shared" si="25"/>
        <v>89989.053214992266</v>
      </c>
      <c r="AF37" s="7">
        <f>AE37-AE38</f>
        <v>3032.0181373762753</v>
      </c>
      <c r="AG37">
        <f t="shared" si="20"/>
        <v>442365.22073152068</v>
      </c>
      <c r="AH37">
        <f t="shared" si="21"/>
        <v>2503013.748709396</v>
      </c>
      <c r="AI37" s="10">
        <f t="shared" si="22"/>
        <v>27.814646996334787</v>
      </c>
    </row>
    <row r="38" spans="1:35" x14ac:dyDescent="0.4">
      <c r="A38" t="s">
        <v>18</v>
      </c>
      <c r="B38">
        <f t="shared" si="26"/>
        <v>55</v>
      </c>
      <c r="C38">
        <v>5</v>
      </c>
      <c r="D38">
        <v>1.1786385E-2</v>
      </c>
      <c r="E38">
        <f t="shared" si="7"/>
        <v>5.7229053895191839E-2</v>
      </c>
      <c r="F38">
        <f t="shared" si="8"/>
        <v>0.94277094610480816</v>
      </c>
      <c r="G38" s="7">
        <f t="shared" si="23"/>
        <v>85189.946324638338</v>
      </c>
      <c r="H38" s="7">
        <f t="shared" si="9"/>
        <v>4875.3400295412284</v>
      </c>
      <c r="I38">
        <f t="shared" si="10"/>
        <v>413761.38154933864</v>
      </c>
      <c r="J38">
        <f t="shared" si="11"/>
        <v>1938032.9102663095</v>
      </c>
      <c r="K38" s="10">
        <f t="shared" si="12"/>
        <v>22.74954961094744</v>
      </c>
      <c r="M38" t="s">
        <v>18</v>
      </c>
      <c r="N38">
        <f t="shared" si="27"/>
        <v>55</v>
      </c>
      <c r="O38">
        <v>5</v>
      </c>
      <c r="P38">
        <v>1.4084853E-2</v>
      </c>
      <c r="Q38">
        <f t="shared" si="13"/>
        <v>6.8001678254108189E-2</v>
      </c>
      <c r="R38">
        <f t="shared" si="14"/>
        <v>0.93199832174589181</v>
      </c>
      <c r="S38" s="7">
        <f t="shared" si="24"/>
        <v>83566.280379970398</v>
      </c>
      <c r="T38" s="7">
        <f>S38-S39</f>
        <v>5682.6473112913372</v>
      </c>
      <c r="U38">
        <f t="shared" si="15"/>
        <v>403624.78362162365</v>
      </c>
      <c r="V38">
        <f t="shared" si="16"/>
        <v>1825121.5228406</v>
      </c>
      <c r="W38" s="10">
        <f t="shared" si="17"/>
        <v>21.84040637613511</v>
      </c>
      <c r="Y38" t="s">
        <v>18</v>
      </c>
      <c r="Z38">
        <f t="shared" si="28"/>
        <v>55</v>
      </c>
      <c r="AA38">
        <v>5</v>
      </c>
      <c r="AB38">
        <v>9.4026089999999993E-3</v>
      </c>
      <c r="AC38">
        <f t="shared" si="18"/>
        <v>4.5925048398551271E-2</v>
      </c>
      <c r="AD38">
        <f t="shared" si="19"/>
        <v>0.95407495160144873</v>
      </c>
      <c r="AE38" s="7">
        <f t="shared" si="25"/>
        <v>86957.03507761599</v>
      </c>
      <c r="AF38" s="7">
        <f>AE38-AE39</f>
        <v>3993.506044534035</v>
      </c>
      <c r="AG38">
        <f t="shared" si="20"/>
        <v>424801.41027674486</v>
      </c>
      <c r="AH38">
        <f t="shared" si="21"/>
        <v>2060648.5279778754</v>
      </c>
      <c r="AI38" s="10">
        <f t="shared" si="22"/>
        <v>23.697318177173184</v>
      </c>
    </row>
    <row r="39" spans="1:35" x14ac:dyDescent="0.4">
      <c r="A39" t="s">
        <v>19</v>
      </c>
      <c r="B39">
        <f t="shared" si="26"/>
        <v>60</v>
      </c>
      <c r="C39">
        <v>5</v>
      </c>
      <c r="D39">
        <v>1.7562732000000001E-2</v>
      </c>
      <c r="E39">
        <f t="shared" si="7"/>
        <v>8.4068464495120843E-2</v>
      </c>
      <c r="F39">
        <f t="shared" si="8"/>
        <v>0.91593153550487916</v>
      </c>
      <c r="G39" s="7">
        <f t="shared" si="23"/>
        <v>80314.60629509711</v>
      </c>
      <c r="H39" s="7">
        <f t="shared" si="9"/>
        <v>6751.9256277589739</v>
      </c>
      <c r="I39">
        <f t="shared" si="10"/>
        <v>384693.21740608808</v>
      </c>
      <c r="J39">
        <f t="shared" si="11"/>
        <v>1524271.5287169707</v>
      </c>
      <c r="K39" s="10">
        <f t="shared" si="12"/>
        <v>18.978758647168036</v>
      </c>
      <c r="M39" t="s">
        <v>19</v>
      </c>
      <c r="N39">
        <f t="shared" si="27"/>
        <v>60</v>
      </c>
      <c r="O39">
        <v>5</v>
      </c>
      <c r="P39">
        <v>1.9809436E-2</v>
      </c>
      <c r="Q39">
        <f t="shared" si="13"/>
        <v>9.4300023909361874E-2</v>
      </c>
      <c r="R39">
        <f t="shared" si="14"/>
        <v>0.90569997609063813</v>
      </c>
      <c r="S39" s="7">
        <f t="shared" si="24"/>
        <v>77883.633068679061</v>
      </c>
      <c r="T39" s="7">
        <f>S39-S40</f>
        <v>7344.4284605244029</v>
      </c>
      <c r="U39">
        <f t="shared" si="15"/>
        <v>371057.09419208433</v>
      </c>
      <c r="V39">
        <f t="shared" si="16"/>
        <v>1421496.7392189761</v>
      </c>
      <c r="W39" s="10">
        <f t="shared" si="17"/>
        <v>18.251546354616984</v>
      </c>
      <c r="Y39" t="s">
        <v>19</v>
      </c>
      <c r="Z39">
        <f t="shared" si="28"/>
        <v>60</v>
      </c>
      <c r="AA39">
        <v>5</v>
      </c>
      <c r="AB39">
        <v>1.5264842000000001E-2</v>
      </c>
      <c r="AC39">
        <f t="shared" si="18"/>
        <v>7.3484227818399916E-2</v>
      </c>
      <c r="AD39">
        <f t="shared" si="19"/>
        <v>0.92651577218160008</v>
      </c>
      <c r="AE39" s="7">
        <f t="shared" si="25"/>
        <v>82963.529033081955</v>
      </c>
      <c r="AF39" s="7">
        <f>AE39-AE40</f>
        <v>6096.5108680854319</v>
      </c>
      <c r="AG39">
        <f t="shared" si="20"/>
        <v>399576.3679951962</v>
      </c>
      <c r="AH39">
        <f t="shared" si="21"/>
        <v>1635847.1177011305</v>
      </c>
      <c r="AI39" s="10">
        <f t="shared" si="22"/>
        <v>19.717665542516055</v>
      </c>
    </row>
    <row r="40" spans="1:35" x14ac:dyDescent="0.4">
      <c r="A40" t="s">
        <v>20</v>
      </c>
      <c r="B40">
        <f t="shared" si="26"/>
        <v>65</v>
      </c>
      <c r="C40">
        <v>5</v>
      </c>
      <c r="D40">
        <v>2.6607314999999999E-2</v>
      </c>
      <c r="E40">
        <f t="shared" si="7"/>
        <v>0.12456692744141162</v>
      </c>
      <c r="F40">
        <f t="shared" si="8"/>
        <v>0.87543307255858838</v>
      </c>
      <c r="G40" s="7">
        <f t="shared" si="23"/>
        <v>73562.680667338136</v>
      </c>
      <c r="H40" s="7">
        <f t="shared" si="9"/>
        <v>9163.4771050840427</v>
      </c>
      <c r="I40">
        <f t="shared" si="10"/>
        <v>344904.71057398058</v>
      </c>
      <c r="J40">
        <f t="shared" si="11"/>
        <v>1139578.3113108827</v>
      </c>
      <c r="K40" s="10">
        <f t="shared" si="12"/>
        <v>15.491255905480562</v>
      </c>
      <c r="M40" t="s">
        <v>20</v>
      </c>
      <c r="N40">
        <f t="shared" si="27"/>
        <v>65</v>
      </c>
      <c r="O40">
        <v>5</v>
      </c>
      <c r="P40">
        <v>2.9694389000000002E-2</v>
      </c>
      <c r="Q40">
        <f t="shared" si="13"/>
        <v>0.13797580908006413</v>
      </c>
      <c r="R40">
        <f t="shared" si="14"/>
        <v>0.86202419091993587</v>
      </c>
      <c r="S40" s="7">
        <f t="shared" si="24"/>
        <v>70539.204608154658</v>
      </c>
      <c r="T40" s="7">
        <f>S40-S41</f>
        <v>9732.703827674326</v>
      </c>
      <c r="U40">
        <f t="shared" si="15"/>
        <v>328364.26347158744</v>
      </c>
      <c r="V40">
        <f t="shared" si="16"/>
        <v>1050439.6450268917</v>
      </c>
      <c r="W40" s="10">
        <f t="shared" si="17"/>
        <v>14.89157201108355</v>
      </c>
      <c r="Y40" t="s">
        <v>20</v>
      </c>
      <c r="Z40">
        <f t="shared" si="28"/>
        <v>65</v>
      </c>
      <c r="AA40">
        <v>5</v>
      </c>
      <c r="AB40">
        <v>2.3520396999999998E-2</v>
      </c>
      <c r="AC40">
        <f t="shared" si="18"/>
        <v>0.11095016262485091</v>
      </c>
      <c r="AD40">
        <f t="shared" si="19"/>
        <v>0.88904983737514909</v>
      </c>
      <c r="AE40" s="7">
        <f t="shared" si="25"/>
        <v>76867.018164996523</v>
      </c>
      <c r="AF40" s="7">
        <f>AE40-AE41</f>
        <v>8528.4081658937357</v>
      </c>
      <c r="AG40">
        <f t="shared" si="20"/>
        <v>363014.07041024824</v>
      </c>
      <c r="AH40">
        <f t="shared" si="21"/>
        <v>1236270.7497059344</v>
      </c>
      <c r="AI40" s="10">
        <f t="shared" si="22"/>
        <v>16.08324063062074</v>
      </c>
    </row>
    <row r="41" spans="1:35" x14ac:dyDescent="0.4">
      <c r="A41" t="s">
        <v>21</v>
      </c>
      <c r="B41">
        <f t="shared" si="26"/>
        <v>70</v>
      </c>
      <c r="C41">
        <v>5</v>
      </c>
      <c r="D41">
        <v>4.1230302000000003E-2</v>
      </c>
      <c r="E41">
        <f t="shared" si="7"/>
        <v>0.18629021822605552</v>
      </c>
      <c r="F41">
        <f t="shared" si="8"/>
        <v>0.81370978177394448</v>
      </c>
      <c r="G41" s="7">
        <f t="shared" si="23"/>
        <v>64399.203562254093</v>
      </c>
      <c r="H41" s="7">
        <f t="shared" si="9"/>
        <v>11996.941685196485</v>
      </c>
      <c r="I41">
        <f t="shared" si="10"/>
        <v>292003.66359827924</v>
      </c>
      <c r="J41">
        <f t="shared" si="11"/>
        <v>794673.6007369021</v>
      </c>
      <c r="K41" s="10">
        <f t="shared" si="12"/>
        <v>12.339804792285959</v>
      </c>
      <c r="M41" t="s">
        <v>21</v>
      </c>
      <c r="N41">
        <f t="shared" si="27"/>
        <v>70</v>
      </c>
      <c r="O41">
        <v>5</v>
      </c>
      <c r="P41">
        <v>4.4928562999999998E-2</v>
      </c>
      <c r="Q41">
        <f t="shared" si="13"/>
        <v>0.2011985122811617</v>
      </c>
      <c r="R41">
        <f t="shared" si="14"/>
        <v>0.7988014877188383</v>
      </c>
      <c r="S41" s="7">
        <f t="shared" si="24"/>
        <v>60806.500780480332</v>
      </c>
      <c r="T41" s="7">
        <f>S41-S42</f>
        <v>12234.177494055941</v>
      </c>
      <c r="U41">
        <f t="shared" si="15"/>
        <v>273447.06016726181</v>
      </c>
      <c r="V41">
        <f t="shared" si="16"/>
        <v>722075.3815553044</v>
      </c>
      <c r="W41" s="10">
        <f t="shared" si="17"/>
        <v>11.874970147716507</v>
      </c>
      <c r="Y41" t="s">
        <v>21</v>
      </c>
      <c r="Z41">
        <f t="shared" si="28"/>
        <v>70</v>
      </c>
      <c r="AA41">
        <v>5</v>
      </c>
      <c r="AB41">
        <v>3.7806164000000003E-2</v>
      </c>
      <c r="AC41">
        <f t="shared" si="18"/>
        <v>0.17223900529226099</v>
      </c>
      <c r="AD41">
        <f t="shared" si="19"/>
        <v>0.82776099470773901</v>
      </c>
      <c r="AE41" s="7">
        <f t="shared" si="25"/>
        <v>68338.609999102788</v>
      </c>
      <c r="AF41" s="7">
        <f>AE41-AE42</f>
        <v>11770.574209301223</v>
      </c>
      <c r="AG41">
        <f t="shared" si="20"/>
        <v>312266.61447226087</v>
      </c>
      <c r="AH41">
        <f t="shared" si="21"/>
        <v>873256.67929568607</v>
      </c>
      <c r="AI41" s="10">
        <f t="shared" si="22"/>
        <v>12.778379298425165</v>
      </c>
    </row>
    <row r="42" spans="1:35" x14ac:dyDescent="0.4">
      <c r="A42" t="s">
        <v>22</v>
      </c>
      <c r="B42">
        <f t="shared" si="26"/>
        <v>75</v>
      </c>
      <c r="C42">
        <v>5</v>
      </c>
      <c r="D42">
        <v>6.2868255999999997E-2</v>
      </c>
      <c r="E42">
        <f t="shared" si="7"/>
        <v>0.2697302408368244</v>
      </c>
      <c r="F42">
        <f t="shared" si="8"/>
        <v>0.7302697591631756</v>
      </c>
      <c r="G42" s="7">
        <f t="shared" si="23"/>
        <v>52402.261877057608</v>
      </c>
      <c r="H42" s="7">
        <f t="shared" si="9"/>
        <v>14134.474716493089</v>
      </c>
      <c r="I42">
        <f t="shared" si="10"/>
        <v>226675.12259405531</v>
      </c>
      <c r="J42">
        <f t="shared" si="11"/>
        <v>502669.93713862286</v>
      </c>
      <c r="K42" s="10">
        <f t="shared" si="12"/>
        <v>9.5925236646836094</v>
      </c>
      <c r="M42" t="s">
        <v>22</v>
      </c>
      <c r="N42">
        <f t="shared" si="27"/>
        <v>75</v>
      </c>
      <c r="O42">
        <v>5</v>
      </c>
      <c r="P42">
        <v>6.8316935999999995E-2</v>
      </c>
      <c r="Q42">
        <f t="shared" si="13"/>
        <v>0.2893567122017302</v>
      </c>
      <c r="R42">
        <f t="shared" si="14"/>
        <v>0.7106432877982698</v>
      </c>
      <c r="S42" s="7">
        <f t="shared" si="24"/>
        <v>48572.323286424391</v>
      </c>
      <c r="T42" s="7">
        <f>S42-S43</f>
        <v>14054.727770159298</v>
      </c>
      <c r="U42">
        <f t="shared" si="15"/>
        <v>207724.7970067237</v>
      </c>
      <c r="V42">
        <f t="shared" si="16"/>
        <v>448628.32138804247</v>
      </c>
      <c r="W42" s="10">
        <f t="shared" si="17"/>
        <v>9.2362953022144367</v>
      </c>
      <c r="Y42" t="s">
        <v>22</v>
      </c>
      <c r="Z42">
        <f t="shared" si="28"/>
        <v>75</v>
      </c>
      <c r="AA42">
        <v>5</v>
      </c>
      <c r="AB42">
        <v>5.8071479000000002E-2</v>
      </c>
      <c r="AC42">
        <f t="shared" si="18"/>
        <v>0.25200381029656571</v>
      </c>
      <c r="AD42">
        <f t="shared" si="19"/>
        <v>0.74799618970343429</v>
      </c>
      <c r="AE42" s="7">
        <f t="shared" si="25"/>
        <v>56568.035789801565</v>
      </c>
      <c r="AF42" s="7">
        <f>AE42-AE43</f>
        <v>14255.360560022491</v>
      </c>
      <c r="AG42">
        <f t="shared" si="20"/>
        <v>247201.77754895156</v>
      </c>
      <c r="AH42">
        <f t="shared" si="21"/>
        <v>560990.06482342514</v>
      </c>
      <c r="AI42" s="10">
        <f t="shared" si="22"/>
        <v>9.917085806337365</v>
      </c>
    </row>
    <row r="43" spans="1:35" x14ac:dyDescent="0.4">
      <c r="A43" t="s">
        <v>23</v>
      </c>
      <c r="B43">
        <f t="shared" si="26"/>
        <v>80</v>
      </c>
      <c r="C43">
        <v>5</v>
      </c>
      <c r="D43">
        <v>0.10828625</v>
      </c>
      <c r="E43">
        <f t="shared" si="7"/>
        <v>0.41808520947380856</v>
      </c>
      <c r="F43">
        <f t="shared" si="8"/>
        <v>0.58191479052619144</v>
      </c>
      <c r="G43" s="7">
        <f t="shared" si="23"/>
        <v>38267.78716056452</v>
      </c>
      <c r="H43" s="7">
        <f t="shared" si="9"/>
        <v>15999.19581112374</v>
      </c>
      <c r="I43">
        <f t="shared" si="10"/>
        <v>151340.94627501324</v>
      </c>
      <c r="J43">
        <f t="shared" si="11"/>
        <v>275994.81454456761</v>
      </c>
      <c r="K43" s="10">
        <f t="shared" si="12"/>
        <v>7.2121968638151115</v>
      </c>
      <c r="M43" t="s">
        <v>23</v>
      </c>
      <c r="N43">
        <f t="shared" si="27"/>
        <v>80</v>
      </c>
      <c r="O43">
        <v>5</v>
      </c>
      <c r="P43">
        <v>0.113038526</v>
      </c>
      <c r="Q43">
        <f t="shared" si="13"/>
        <v>0.43174932591333059</v>
      </c>
      <c r="R43">
        <f t="shared" si="14"/>
        <v>0.56825067408666941</v>
      </c>
      <c r="S43" s="7">
        <f t="shared" si="24"/>
        <v>34517.595516265093</v>
      </c>
      <c r="T43" s="7">
        <f>S43-S44</f>
        <v>14902.948596296457</v>
      </c>
      <c r="U43">
        <f t="shared" si="15"/>
        <v>135330.60609058433</v>
      </c>
      <c r="V43">
        <f t="shared" si="16"/>
        <v>240903.5243813188</v>
      </c>
      <c r="W43" s="10">
        <f t="shared" si="17"/>
        <v>6.9791513799911771</v>
      </c>
      <c r="Y43" t="s">
        <v>23</v>
      </c>
      <c r="Z43">
        <f t="shared" si="28"/>
        <v>80</v>
      </c>
      <c r="AA43">
        <v>5</v>
      </c>
      <c r="AB43">
        <v>0.10436274099999999</v>
      </c>
      <c r="AC43">
        <f t="shared" si="18"/>
        <v>0.40655675966581972</v>
      </c>
      <c r="AD43">
        <f t="shared" si="19"/>
        <v>0.59344324033418028</v>
      </c>
      <c r="AE43" s="7">
        <f t="shared" si="25"/>
        <v>42312.675229779074</v>
      </c>
      <c r="AF43" s="7">
        <f>AE43-AE44</f>
        <v>17202.504134211173</v>
      </c>
      <c r="AG43">
        <f t="shared" si="20"/>
        <v>168557.11581336742</v>
      </c>
      <c r="AH43">
        <f t="shared" si="21"/>
        <v>313788.28727447358</v>
      </c>
      <c r="AI43" s="10">
        <f t="shared" si="22"/>
        <v>7.4159406270212322</v>
      </c>
    </row>
    <row r="44" spans="1:35" x14ac:dyDescent="0.4">
      <c r="A44" t="s">
        <v>24</v>
      </c>
      <c r="B44">
        <f t="shared" si="26"/>
        <v>85</v>
      </c>
      <c r="C44" t="s">
        <v>41</v>
      </c>
      <c r="D44">
        <v>0.17864340400000001</v>
      </c>
      <c r="E44">
        <v>1</v>
      </c>
      <c r="F44">
        <f t="shared" si="8"/>
        <v>0</v>
      </c>
      <c r="G44" s="7">
        <f t="shared" si="23"/>
        <v>22268.59134944078</v>
      </c>
      <c r="H44" s="7">
        <f t="shared" si="9"/>
        <v>22268.59134944078</v>
      </c>
      <c r="I44">
        <f>G44/D44</f>
        <v>124653.86826955435</v>
      </c>
      <c r="J44">
        <f t="shared" si="11"/>
        <v>124653.86826955435</v>
      </c>
      <c r="K44" s="10">
        <f t="shared" si="12"/>
        <v>5.5977437599655229</v>
      </c>
      <c r="M44" t="s">
        <v>24</v>
      </c>
      <c r="N44">
        <f t="shared" si="27"/>
        <v>85</v>
      </c>
      <c r="O44" t="s">
        <v>41</v>
      </c>
      <c r="P44">
        <v>0.18579240999999999</v>
      </c>
      <c r="Q44">
        <v>1</v>
      </c>
      <c r="R44">
        <f t="shared" si="14"/>
        <v>0</v>
      </c>
      <c r="S44" s="7">
        <f t="shared" si="24"/>
        <v>19614.646919968636</v>
      </c>
      <c r="T44" s="7">
        <f>S44</f>
        <v>19614.646919968636</v>
      </c>
      <c r="U44">
        <f>S44/P44</f>
        <v>105572.91829073447</v>
      </c>
      <c r="V44">
        <f t="shared" si="16"/>
        <v>105572.91829073447</v>
      </c>
      <c r="W44" s="10">
        <f t="shared" si="17"/>
        <v>5.3823511950784217</v>
      </c>
      <c r="Y44" t="s">
        <v>24</v>
      </c>
      <c r="Z44">
        <f t="shared" si="28"/>
        <v>85</v>
      </c>
      <c r="AA44" t="s">
        <v>41</v>
      </c>
      <c r="AB44">
        <v>0.172897945</v>
      </c>
      <c r="AC44">
        <v>1</v>
      </c>
      <c r="AD44">
        <f t="shared" si="19"/>
        <v>0</v>
      </c>
      <c r="AE44" s="7">
        <f t="shared" si="25"/>
        <v>25110.171095567901</v>
      </c>
      <c r="AF44" s="7">
        <f>AE44-G88</f>
        <v>25110.171095567901</v>
      </c>
      <c r="AG44">
        <f>AE44/AB44</f>
        <v>145231.17146110616</v>
      </c>
      <c r="AH44">
        <f t="shared" si="21"/>
        <v>145231.17146110616</v>
      </c>
      <c r="AI44" s="10">
        <f t="shared" si="22"/>
        <v>5.7837587369820973</v>
      </c>
    </row>
    <row r="48" spans="1:35" x14ac:dyDescent="0.4">
      <c r="A48" s="2" t="s">
        <v>1</v>
      </c>
      <c r="B48" s="2" t="s">
        <v>57</v>
      </c>
      <c r="C48" s="2" t="s">
        <v>58</v>
      </c>
      <c r="E48" s="2" t="s">
        <v>1</v>
      </c>
      <c r="F48" s="2" t="s">
        <v>59</v>
      </c>
      <c r="G48" s="2" t="s">
        <v>60</v>
      </c>
    </row>
    <row r="49" spans="1:7" x14ac:dyDescent="0.4">
      <c r="A49" t="s">
        <v>6</v>
      </c>
      <c r="B49">
        <v>100000</v>
      </c>
      <c r="C49">
        <v>100000</v>
      </c>
      <c r="E49" t="s">
        <v>6</v>
      </c>
      <c r="F49" s="10">
        <v>69.622215067415155</v>
      </c>
      <c r="G49" s="10">
        <v>72.310429371844265</v>
      </c>
    </row>
    <row r="50" spans="1:7" x14ac:dyDescent="0.4">
      <c r="A50" t="s">
        <v>7</v>
      </c>
      <c r="B50" s="7">
        <v>97200.508408038673</v>
      </c>
      <c r="C50" s="7">
        <v>97210.386328386274</v>
      </c>
      <c r="E50" t="s">
        <v>7</v>
      </c>
      <c r="F50" s="10">
        <v>70.613018027896047</v>
      </c>
      <c r="G50" s="10">
        <v>73.371149044981223</v>
      </c>
    </row>
    <row r="51" spans="1:7" x14ac:dyDescent="0.4">
      <c r="A51" t="s">
        <v>8</v>
      </c>
      <c r="B51" s="7">
        <v>96659.293183211979</v>
      </c>
      <c r="C51" s="7">
        <v>96536.534928386274</v>
      </c>
      <c r="E51" t="s">
        <v>8</v>
      </c>
      <c r="F51" s="10">
        <v>66.997196400767223</v>
      </c>
      <c r="G51" s="10">
        <v>69.869339173094318</v>
      </c>
    </row>
    <row r="52" spans="1:7" x14ac:dyDescent="0.4">
      <c r="A52" t="s">
        <v>9</v>
      </c>
      <c r="B52" s="7">
        <v>96418.001235140793</v>
      </c>
      <c r="C52" s="7">
        <v>96236.40745881194</v>
      </c>
      <c r="E52" t="s">
        <v>9</v>
      </c>
      <c r="F52" s="10">
        <v>62.158604581452465</v>
      </c>
      <c r="G52" s="10">
        <v>65.079440420915432</v>
      </c>
    </row>
    <row r="53" spans="1:7" x14ac:dyDescent="0.4">
      <c r="A53" t="s">
        <v>10</v>
      </c>
      <c r="B53" s="7">
        <v>96159.578166352076</v>
      </c>
      <c r="C53" s="7">
        <v>95972.73848146075</v>
      </c>
      <c r="E53" t="s">
        <v>10</v>
      </c>
      <c r="F53" s="10">
        <v>57.318933484402947</v>
      </c>
      <c r="G53" s="10">
        <v>60.251366921295329</v>
      </c>
    </row>
    <row r="54" spans="1:7" x14ac:dyDescent="0.4">
      <c r="A54" t="s">
        <v>11</v>
      </c>
      <c r="B54" s="7">
        <v>95779.673780927653</v>
      </c>
      <c r="C54" s="7">
        <v>95545.852866639005</v>
      </c>
      <c r="E54" t="s">
        <v>11</v>
      </c>
      <c r="F54" s="10">
        <v>52.536369527071543</v>
      </c>
      <c r="G54" s="10">
        <v>55.509392016423256</v>
      </c>
    </row>
    <row r="55" spans="1:7" x14ac:dyDescent="0.4">
      <c r="A55" t="s">
        <v>12</v>
      </c>
      <c r="B55" s="7">
        <v>95127.267598345905</v>
      </c>
      <c r="C55" s="7">
        <v>94961.346227709524</v>
      </c>
      <c r="E55" t="s">
        <v>12</v>
      </c>
      <c r="F55" s="10">
        <v>47.879531247759665</v>
      </c>
      <c r="G55" s="10">
        <v>50.835675739117299</v>
      </c>
    </row>
    <row r="56" spans="1:7" x14ac:dyDescent="0.4">
      <c r="A56" t="s">
        <v>13</v>
      </c>
      <c r="B56" s="7">
        <v>94330.18878530158</v>
      </c>
      <c r="C56" s="7">
        <v>94349.818864546643</v>
      </c>
      <c r="E56" t="s">
        <v>13</v>
      </c>
      <c r="F56" s="10">
        <v>43.262982859266543</v>
      </c>
      <c r="G56" s="10">
        <v>46.148962915363754</v>
      </c>
    </row>
    <row r="57" spans="1:7" x14ac:dyDescent="0.4">
      <c r="A57" t="s">
        <v>14</v>
      </c>
      <c r="B57" s="7">
        <v>93247.432439881974</v>
      </c>
      <c r="C57" s="7">
        <v>93661.486698773617</v>
      </c>
      <c r="E57" t="s">
        <v>14</v>
      </c>
      <c r="F57" s="10">
        <v>38.736308260237301</v>
      </c>
      <c r="G57" s="10">
        <v>41.469745621642026</v>
      </c>
    </row>
    <row r="58" spans="1:7" x14ac:dyDescent="0.4">
      <c r="A58" t="s">
        <v>15</v>
      </c>
      <c r="B58" s="7">
        <v>91772.117356289353</v>
      </c>
      <c r="C58" s="7">
        <v>92799.769596068945</v>
      </c>
      <c r="E58" t="s">
        <v>15</v>
      </c>
      <c r="F58" s="10">
        <v>34.318837831201556</v>
      </c>
      <c r="G58" s="10">
        <v>36.831609626653972</v>
      </c>
    </row>
    <row r="59" spans="1:7" x14ac:dyDescent="0.4">
      <c r="A59" t="s">
        <v>16</v>
      </c>
      <c r="B59" s="7">
        <v>89928.466172546221</v>
      </c>
      <c r="C59" s="7">
        <v>91595.816293758908</v>
      </c>
      <c r="E59" t="s">
        <v>16</v>
      </c>
      <c r="F59" s="10">
        <v>29.97116562605428</v>
      </c>
      <c r="G59" s="10">
        <v>32.282871010155013</v>
      </c>
    </row>
    <row r="60" spans="1:7" x14ac:dyDescent="0.4">
      <c r="A60" t="s">
        <v>17</v>
      </c>
      <c r="B60" s="7">
        <v>87280.512986502275</v>
      </c>
      <c r="C60" s="7">
        <v>89989.053214992266</v>
      </c>
      <c r="E60" t="s">
        <v>17</v>
      </c>
      <c r="F60" s="10">
        <v>25.804597489076226</v>
      </c>
      <c r="G60" s="10">
        <v>27.814646996334787</v>
      </c>
    </row>
    <row r="61" spans="1:7" x14ac:dyDescent="0.4">
      <c r="A61" t="s">
        <v>18</v>
      </c>
      <c r="B61" s="7">
        <v>83566.280379970398</v>
      </c>
      <c r="C61" s="7">
        <v>86957.03507761599</v>
      </c>
      <c r="E61" t="s">
        <v>18</v>
      </c>
      <c r="F61" s="10">
        <v>21.84040637613511</v>
      </c>
      <c r="G61" s="10">
        <v>23.697318177173184</v>
      </c>
    </row>
    <row r="62" spans="1:7" x14ac:dyDescent="0.4">
      <c r="A62" t="s">
        <v>19</v>
      </c>
      <c r="B62" s="7">
        <v>77883.633068679061</v>
      </c>
      <c r="C62" s="7">
        <v>82963.529033081955</v>
      </c>
      <c r="E62" t="s">
        <v>19</v>
      </c>
      <c r="F62" s="10">
        <v>18.251546354616984</v>
      </c>
      <c r="G62" s="10">
        <v>19.717665542516055</v>
      </c>
    </row>
    <row r="63" spans="1:7" x14ac:dyDescent="0.4">
      <c r="A63" t="s">
        <v>20</v>
      </c>
      <c r="B63" s="7">
        <v>70539.204608154658</v>
      </c>
      <c r="C63" s="7">
        <v>76867.018164996523</v>
      </c>
      <c r="E63" t="s">
        <v>20</v>
      </c>
      <c r="F63" s="10">
        <v>14.89157201108355</v>
      </c>
      <c r="G63" s="10">
        <v>16.08324063062074</v>
      </c>
    </row>
    <row r="64" spans="1:7" x14ac:dyDescent="0.4">
      <c r="A64" t="s">
        <v>21</v>
      </c>
      <c r="B64" s="7">
        <v>60806.500780480332</v>
      </c>
      <c r="C64" s="7">
        <v>68338.609999102788</v>
      </c>
      <c r="E64" t="s">
        <v>21</v>
      </c>
      <c r="F64" s="10">
        <v>11.874970147716507</v>
      </c>
      <c r="G64" s="10">
        <v>12.778379298425165</v>
      </c>
    </row>
    <row r="65" spans="1:7" x14ac:dyDescent="0.4">
      <c r="A65" t="s">
        <v>22</v>
      </c>
      <c r="B65" s="7">
        <v>48572.323286424391</v>
      </c>
      <c r="C65" s="7">
        <v>56568.035789801565</v>
      </c>
      <c r="E65" t="s">
        <v>22</v>
      </c>
      <c r="F65" s="10">
        <v>9.2362953022144367</v>
      </c>
      <c r="G65" s="10">
        <v>9.917085806337365</v>
      </c>
    </row>
    <row r="66" spans="1:7" x14ac:dyDescent="0.4">
      <c r="A66" t="s">
        <v>23</v>
      </c>
      <c r="B66" s="7">
        <v>34517.595516265093</v>
      </c>
      <c r="C66" s="7">
        <v>42312.675229779074</v>
      </c>
      <c r="E66" t="s">
        <v>23</v>
      </c>
      <c r="F66" s="10">
        <v>6.9791513799911771</v>
      </c>
      <c r="G66" s="10">
        <v>7.4159406270212322</v>
      </c>
    </row>
    <row r="67" spans="1:7" x14ac:dyDescent="0.4">
      <c r="A67" t="s">
        <v>24</v>
      </c>
      <c r="B67" s="7">
        <v>19614.646919968636</v>
      </c>
      <c r="C67" s="7">
        <v>25110.171095567901</v>
      </c>
      <c r="E67" t="s">
        <v>24</v>
      </c>
      <c r="F67" s="10">
        <v>5.3823511950784217</v>
      </c>
      <c r="G67" s="10">
        <v>5.7837587369820973</v>
      </c>
    </row>
  </sheetData>
  <mergeCells count="4">
    <mergeCell ref="M1:O1"/>
    <mergeCell ref="G1:I1"/>
    <mergeCell ref="D1:F1"/>
    <mergeCell ref="J1:L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CC4F-F6E5-44C6-A766-C4C83EF43E34}">
  <dimension ref="A1:I21"/>
  <sheetViews>
    <sheetView workbookViewId="0">
      <selection activeCell="A2" sqref="A2:B21"/>
    </sheetView>
  </sheetViews>
  <sheetFormatPr defaultRowHeight="14.6" x14ac:dyDescent="0.4"/>
  <sheetData>
    <row r="1" spans="1:9" x14ac:dyDescent="0.4">
      <c r="B1" t="s">
        <v>27</v>
      </c>
      <c r="C1">
        <v>2019</v>
      </c>
      <c r="D1" s="9" t="s">
        <v>37</v>
      </c>
      <c r="E1" s="9"/>
      <c r="F1" s="9"/>
      <c r="G1" s="9" t="s">
        <v>38</v>
      </c>
      <c r="H1" s="9"/>
      <c r="I1" s="9"/>
    </row>
    <row r="2" spans="1:9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6</v>
      </c>
      <c r="D3">
        <v>4.1262110000000003E-3</v>
      </c>
      <c r="E3">
        <v>4.566082E-3</v>
      </c>
      <c r="F3">
        <v>3.6610660000000001E-3</v>
      </c>
      <c r="G3">
        <v>4.1109440000000001E-3</v>
      </c>
      <c r="H3">
        <v>4.5473950000000001E-3</v>
      </c>
      <c r="I3">
        <v>3.6490419999999999E-3</v>
      </c>
    </row>
    <row r="4" spans="1:9" x14ac:dyDescent="0.4">
      <c r="A4">
        <v>1</v>
      </c>
      <c r="B4">
        <v>4</v>
      </c>
      <c r="C4" t="s">
        <v>7</v>
      </c>
      <c r="D4">
        <v>3.27659E-4</v>
      </c>
      <c r="E4">
        <v>3.5619800000000001E-4</v>
      </c>
      <c r="F4">
        <v>2.9751799999999998E-4</v>
      </c>
      <c r="G4">
        <v>1.309607E-3</v>
      </c>
      <c r="H4">
        <v>1.423576E-3</v>
      </c>
      <c r="I4">
        <v>1.1892230000000001E-3</v>
      </c>
    </row>
    <row r="5" spans="1:9" x14ac:dyDescent="0.4">
      <c r="A5">
        <v>5</v>
      </c>
      <c r="B5">
        <v>5</v>
      </c>
      <c r="C5" t="s">
        <v>8</v>
      </c>
      <c r="D5">
        <v>1.84043E-4</v>
      </c>
      <c r="E5">
        <v>2.0006900000000001E-4</v>
      </c>
      <c r="F5">
        <v>1.67109E-4</v>
      </c>
      <c r="G5">
        <v>9.1979099999999999E-4</v>
      </c>
      <c r="H5">
        <v>9.9984300000000004E-4</v>
      </c>
      <c r="I5">
        <v>8.3519699999999998E-4</v>
      </c>
    </row>
    <row r="6" spans="1:9" x14ac:dyDescent="0.4">
      <c r="A6">
        <f>A5+5</f>
        <v>10</v>
      </c>
      <c r="B6">
        <v>5</v>
      </c>
      <c r="C6" t="s">
        <v>9</v>
      </c>
      <c r="D6">
        <v>2.1473099999999999E-4</v>
      </c>
      <c r="E6">
        <v>2.49986E-4</v>
      </c>
      <c r="F6">
        <v>1.77417E-4</v>
      </c>
      <c r="G6">
        <v>1.0730799999999999E-3</v>
      </c>
      <c r="H6">
        <v>1.2491500000000001E-3</v>
      </c>
      <c r="I6">
        <v>8.86691E-4</v>
      </c>
    </row>
    <row r="7" spans="1:9" x14ac:dyDescent="0.4">
      <c r="A7">
        <f t="shared" ref="A7:A21" si="0">A6+5</f>
        <v>15</v>
      </c>
      <c r="B7">
        <v>5</v>
      </c>
      <c r="C7" t="s">
        <v>10</v>
      </c>
      <c r="D7">
        <v>3.8882599999999999E-4</v>
      </c>
      <c r="E7">
        <v>4.6975400000000002E-4</v>
      </c>
      <c r="F7">
        <v>3.0323699999999998E-4</v>
      </c>
      <c r="G7">
        <v>1.942243E-3</v>
      </c>
      <c r="H7">
        <v>2.3460149999999999E-3</v>
      </c>
      <c r="I7">
        <v>1.5150350000000001E-3</v>
      </c>
    </row>
    <row r="8" spans="1:9" x14ac:dyDescent="0.4">
      <c r="A8">
        <f t="shared" si="0"/>
        <v>20</v>
      </c>
      <c r="B8">
        <v>5</v>
      </c>
      <c r="C8" t="s">
        <v>11</v>
      </c>
      <c r="D8">
        <v>5.1344300000000004E-4</v>
      </c>
      <c r="E8">
        <v>6.7978199999999998E-4</v>
      </c>
      <c r="F8">
        <v>3.3729700000000002E-4</v>
      </c>
      <c r="G8">
        <v>2.5639220000000002E-3</v>
      </c>
      <c r="H8">
        <v>3.3931439999999998E-3</v>
      </c>
      <c r="I8">
        <v>1.685062E-3</v>
      </c>
    </row>
    <row r="9" spans="1:9" x14ac:dyDescent="0.4">
      <c r="A9">
        <f t="shared" si="0"/>
        <v>25</v>
      </c>
      <c r="B9">
        <v>5</v>
      </c>
      <c r="C9" t="s">
        <v>12</v>
      </c>
      <c r="D9">
        <v>6.9132700000000004E-4</v>
      </c>
      <c r="E9">
        <v>9.2834099999999995E-4</v>
      </c>
      <c r="F9">
        <v>4.3818500000000001E-4</v>
      </c>
      <c r="G9">
        <v>3.4506710000000002E-3</v>
      </c>
      <c r="H9">
        <v>4.6309569999999998E-3</v>
      </c>
      <c r="I9">
        <v>2.188527E-3</v>
      </c>
    </row>
    <row r="10" spans="1:9" x14ac:dyDescent="0.4">
      <c r="A10">
        <f t="shared" si="0"/>
        <v>30</v>
      </c>
      <c r="B10">
        <v>5</v>
      </c>
      <c r="C10" t="s">
        <v>13</v>
      </c>
      <c r="D10">
        <v>8.6735600000000001E-4</v>
      </c>
      <c r="E10">
        <v>1.126843E-3</v>
      </c>
      <c r="F10">
        <v>5.9860000000000002E-4</v>
      </c>
      <c r="G10">
        <v>4.3273959999999998E-3</v>
      </c>
      <c r="H10">
        <v>5.61839E-3</v>
      </c>
      <c r="I10">
        <v>2.9885290000000002E-3</v>
      </c>
    </row>
    <row r="11" spans="1:9" x14ac:dyDescent="0.4">
      <c r="A11">
        <f t="shared" si="0"/>
        <v>35</v>
      </c>
      <c r="B11">
        <v>5</v>
      </c>
      <c r="C11" t="s">
        <v>14</v>
      </c>
      <c r="D11">
        <v>1.3140140000000001E-3</v>
      </c>
      <c r="E11">
        <v>1.612842E-3</v>
      </c>
      <c r="F11">
        <v>1.0047529999999999E-3</v>
      </c>
      <c r="G11">
        <v>6.548557E-3</v>
      </c>
      <c r="H11">
        <v>8.0318239999999999E-3</v>
      </c>
      <c r="I11">
        <v>5.0111770000000003E-3</v>
      </c>
    </row>
    <row r="12" spans="1:9" x14ac:dyDescent="0.4">
      <c r="A12">
        <f t="shared" si="0"/>
        <v>40</v>
      </c>
      <c r="B12">
        <v>5</v>
      </c>
      <c r="C12" t="s">
        <v>15</v>
      </c>
      <c r="D12">
        <v>1.850675E-3</v>
      </c>
      <c r="E12">
        <v>2.3942360000000001E-3</v>
      </c>
      <c r="F12">
        <v>1.2945879999999999E-3</v>
      </c>
      <c r="G12">
        <v>9.2107620000000008E-3</v>
      </c>
      <c r="H12">
        <v>1.1899949999999999E-2</v>
      </c>
      <c r="I12">
        <v>6.4520569999999998E-3</v>
      </c>
    </row>
    <row r="13" spans="1:9" x14ac:dyDescent="0.4">
      <c r="A13">
        <f t="shared" si="0"/>
        <v>45</v>
      </c>
      <c r="B13">
        <v>5</v>
      </c>
      <c r="C13" t="s">
        <v>16</v>
      </c>
      <c r="D13">
        <v>2.7636119999999999E-3</v>
      </c>
      <c r="E13">
        <v>3.670675E-3</v>
      </c>
      <c r="F13">
        <v>1.855893E-3</v>
      </c>
      <c r="G13">
        <v>1.3723248E-2</v>
      </c>
      <c r="H13">
        <v>1.8186484999999999E-2</v>
      </c>
      <c r="I13">
        <v>9.2366119999999999E-3</v>
      </c>
    </row>
    <row r="14" spans="1:9" x14ac:dyDescent="0.4">
      <c r="A14">
        <f t="shared" si="0"/>
        <v>50</v>
      </c>
      <c r="B14">
        <v>5</v>
      </c>
      <c r="C14" t="s">
        <v>17</v>
      </c>
      <c r="D14">
        <v>4.4399189999999996E-3</v>
      </c>
      <c r="E14">
        <v>5.9460779999999996E-3</v>
      </c>
      <c r="F14">
        <v>2.9982749999999999E-3</v>
      </c>
      <c r="G14">
        <v>2.1955887E-2</v>
      </c>
      <c r="H14">
        <v>2.9294915000000001E-2</v>
      </c>
      <c r="I14">
        <v>1.4879843E-2</v>
      </c>
    </row>
    <row r="15" spans="1:9" x14ac:dyDescent="0.4">
      <c r="A15">
        <f t="shared" si="0"/>
        <v>55</v>
      </c>
      <c r="B15">
        <v>5</v>
      </c>
      <c r="C15" t="s">
        <v>18</v>
      </c>
      <c r="D15">
        <v>8.0919930000000004E-3</v>
      </c>
      <c r="E15">
        <v>1.0610803E-2</v>
      </c>
      <c r="F15">
        <v>5.7129329999999999E-3</v>
      </c>
      <c r="G15">
        <v>3.9657688000000003E-2</v>
      </c>
      <c r="H15">
        <v>5.1683017999999997E-2</v>
      </c>
      <c r="I15">
        <v>2.8162441999999999E-2</v>
      </c>
    </row>
    <row r="16" spans="1:9" x14ac:dyDescent="0.4">
      <c r="A16">
        <f t="shared" si="0"/>
        <v>60</v>
      </c>
      <c r="B16">
        <v>5</v>
      </c>
      <c r="C16" t="s">
        <v>19</v>
      </c>
      <c r="D16">
        <v>1.2097132999999999E-2</v>
      </c>
      <c r="E16">
        <v>1.5462224E-2</v>
      </c>
      <c r="F16">
        <v>8.9885810000000007E-3</v>
      </c>
      <c r="G16">
        <v>5.8710106999999997E-2</v>
      </c>
      <c r="H16">
        <v>7.4433840000000001E-2</v>
      </c>
      <c r="I16">
        <v>4.3955169000000002E-2</v>
      </c>
    </row>
    <row r="17" spans="1:9" x14ac:dyDescent="0.4">
      <c r="A17">
        <f t="shared" si="0"/>
        <v>65</v>
      </c>
      <c r="B17">
        <v>5</v>
      </c>
      <c r="C17" t="s">
        <v>20</v>
      </c>
      <c r="D17">
        <v>1.8987451999999998E-2</v>
      </c>
      <c r="E17">
        <v>2.3527006999999999E-2</v>
      </c>
      <c r="F17">
        <v>1.4958008E-2</v>
      </c>
      <c r="G17">
        <v>9.0634943999999995E-2</v>
      </c>
      <c r="H17">
        <v>0.111100386</v>
      </c>
      <c r="I17">
        <v>7.2094079000000005E-2</v>
      </c>
    </row>
    <row r="18" spans="1:9" x14ac:dyDescent="0.4">
      <c r="A18">
        <f t="shared" si="0"/>
        <v>70</v>
      </c>
      <c r="B18">
        <v>5</v>
      </c>
      <c r="C18" t="s">
        <v>21</v>
      </c>
      <c r="D18">
        <v>3.0058893E-2</v>
      </c>
      <c r="E18">
        <v>3.7286719000000003E-2</v>
      </c>
      <c r="F18">
        <v>2.3661640000000001E-2</v>
      </c>
      <c r="G18">
        <v>0.13978965900000001</v>
      </c>
      <c r="H18">
        <v>0.17053670900000001</v>
      </c>
      <c r="I18">
        <v>0.111700647</v>
      </c>
    </row>
    <row r="19" spans="1:9" x14ac:dyDescent="0.4">
      <c r="A19">
        <f t="shared" si="0"/>
        <v>75</v>
      </c>
      <c r="B19">
        <v>5</v>
      </c>
      <c r="C19" t="s">
        <v>22</v>
      </c>
      <c r="D19">
        <v>4.5198503000000001E-2</v>
      </c>
      <c r="E19">
        <v>5.5265778000000002E-2</v>
      </c>
      <c r="F19">
        <v>3.6706352999999997E-2</v>
      </c>
      <c r="G19">
        <v>0.20304876599999999</v>
      </c>
      <c r="H19">
        <v>0.24278468</v>
      </c>
      <c r="I19">
        <v>0.168105422</v>
      </c>
    </row>
    <row r="20" spans="1:9" x14ac:dyDescent="0.4">
      <c r="A20">
        <f t="shared" si="0"/>
        <v>80</v>
      </c>
      <c r="B20">
        <v>5</v>
      </c>
      <c r="C20" t="s">
        <v>23</v>
      </c>
      <c r="D20">
        <v>7.0208572999999996E-2</v>
      </c>
      <c r="E20">
        <v>8.2895365999999998E-2</v>
      </c>
      <c r="F20">
        <v>6.0399162999999999E-2</v>
      </c>
      <c r="G20">
        <v>0.29862736299999998</v>
      </c>
      <c r="H20">
        <v>0.34332640800000003</v>
      </c>
      <c r="I20">
        <v>0.26237737799999999</v>
      </c>
    </row>
    <row r="21" spans="1:9" x14ac:dyDescent="0.4">
      <c r="A21">
        <f t="shared" si="0"/>
        <v>85</v>
      </c>
      <c r="B21" t="s">
        <v>41</v>
      </c>
      <c r="C21" t="s">
        <v>24</v>
      </c>
      <c r="D21">
        <v>0.149429443</v>
      </c>
      <c r="E21">
        <v>0.16342312000000001</v>
      </c>
      <c r="F21">
        <v>0.13977017</v>
      </c>
      <c r="G21">
        <v>1</v>
      </c>
      <c r="H21">
        <v>1</v>
      </c>
      <c r="I21">
        <v>1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45FF-1C35-4291-A40E-220487DF399B}">
  <dimension ref="A1:I21"/>
  <sheetViews>
    <sheetView workbookViewId="0">
      <selection activeCell="A2" sqref="A2:B21"/>
    </sheetView>
  </sheetViews>
  <sheetFormatPr defaultRowHeight="14.6" x14ac:dyDescent="0.4"/>
  <sheetData>
    <row r="1" spans="1:9" x14ac:dyDescent="0.4">
      <c r="B1" t="s">
        <v>28</v>
      </c>
      <c r="C1">
        <v>2019</v>
      </c>
      <c r="D1" s="9" t="s">
        <v>37</v>
      </c>
      <c r="E1" s="9"/>
      <c r="F1" s="9"/>
      <c r="G1" s="9" t="s">
        <v>38</v>
      </c>
      <c r="H1" s="9"/>
      <c r="I1" s="9"/>
    </row>
    <row r="2" spans="1:9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6</v>
      </c>
      <c r="D3">
        <v>5.5204319999999996E-3</v>
      </c>
      <c r="E3">
        <v>5.9996659999999999E-3</v>
      </c>
      <c r="F3">
        <v>5.0195329999999996E-3</v>
      </c>
      <c r="G3">
        <v>5.4931399999999997E-3</v>
      </c>
      <c r="H3">
        <v>5.9674439999999997E-3</v>
      </c>
      <c r="I3">
        <v>4.9969589999999996E-3</v>
      </c>
    </row>
    <row r="4" spans="1:9" x14ac:dyDescent="0.4">
      <c r="A4">
        <v>1</v>
      </c>
      <c r="B4">
        <v>4</v>
      </c>
      <c r="C4" t="s">
        <v>7</v>
      </c>
      <c r="D4">
        <v>2.27104E-4</v>
      </c>
      <c r="E4">
        <v>2.5159299999999999E-4</v>
      </c>
      <c r="F4">
        <v>2.0150499999999999E-4</v>
      </c>
      <c r="G4">
        <v>9.0792200000000003E-4</v>
      </c>
      <c r="H4">
        <v>1.005766E-3</v>
      </c>
      <c r="I4">
        <v>8.0563E-4</v>
      </c>
    </row>
    <row r="5" spans="1:9" x14ac:dyDescent="0.4">
      <c r="A5">
        <v>5</v>
      </c>
      <c r="B5">
        <v>5</v>
      </c>
      <c r="C5" t="s">
        <v>8</v>
      </c>
      <c r="D5">
        <v>1.21978E-4</v>
      </c>
      <c r="E5">
        <v>1.35127E-4</v>
      </c>
      <c r="F5">
        <v>1.08226E-4</v>
      </c>
      <c r="G5">
        <v>6.0970299999999996E-4</v>
      </c>
      <c r="H5">
        <v>6.7540899999999997E-4</v>
      </c>
      <c r="I5">
        <v>5.4098099999999995E-4</v>
      </c>
    </row>
    <row r="6" spans="1:9" x14ac:dyDescent="0.4">
      <c r="A6">
        <f>A5+5</f>
        <v>10</v>
      </c>
      <c r="B6">
        <v>5</v>
      </c>
      <c r="C6" t="s">
        <v>9</v>
      </c>
      <c r="D6">
        <v>1.52585E-4</v>
      </c>
      <c r="E6">
        <v>1.7815299999999999E-4</v>
      </c>
      <c r="F6">
        <v>1.2587000000000001E-4</v>
      </c>
      <c r="G6">
        <v>7.6263500000000001E-4</v>
      </c>
      <c r="H6">
        <v>8.90368E-4</v>
      </c>
      <c r="I6">
        <v>6.2915200000000001E-4</v>
      </c>
    </row>
    <row r="7" spans="1:9" x14ac:dyDescent="0.4">
      <c r="A7">
        <f t="shared" ref="A7:A21" si="0">A6+5</f>
        <v>15</v>
      </c>
      <c r="B7">
        <v>5</v>
      </c>
      <c r="C7" t="s">
        <v>10</v>
      </c>
      <c r="D7">
        <v>4.7738300000000001E-4</v>
      </c>
      <c r="E7">
        <v>6.6134099999999997E-4</v>
      </c>
      <c r="F7">
        <v>2.8593800000000001E-4</v>
      </c>
      <c r="G7">
        <v>2.384068E-3</v>
      </c>
      <c r="H7">
        <v>3.3012459999999999E-3</v>
      </c>
      <c r="I7">
        <v>1.428669E-3</v>
      </c>
    </row>
    <row r="8" spans="1:9" x14ac:dyDescent="0.4">
      <c r="A8">
        <f t="shared" si="0"/>
        <v>20</v>
      </c>
      <c r="B8">
        <v>5</v>
      </c>
      <c r="C8" t="s">
        <v>11</v>
      </c>
      <c r="D8">
        <v>8.98335E-4</v>
      </c>
      <c r="E8">
        <v>1.300168E-3</v>
      </c>
      <c r="F8">
        <v>4.8149999999999999E-4</v>
      </c>
      <c r="G8">
        <v>4.4816099999999996E-3</v>
      </c>
      <c r="H8">
        <v>6.4797769999999999E-3</v>
      </c>
      <c r="I8">
        <v>2.4046079999999999E-3</v>
      </c>
    </row>
    <row r="9" spans="1:9" x14ac:dyDescent="0.4">
      <c r="A9">
        <f t="shared" si="0"/>
        <v>25</v>
      </c>
      <c r="B9">
        <v>5</v>
      </c>
      <c r="C9" t="s">
        <v>12</v>
      </c>
      <c r="D9">
        <v>1.1652640000000001E-3</v>
      </c>
      <c r="E9">
        <v>1.6392550000000001E-3</v>
      </c>
      <c r="F9">
        <v>6.7231400000000003E-4</v>
      </c>
      <c r="G9">
        <v>5.8093939999999998E-3</v>
      </c>
      <c r="H9">
        <v>8.1628240000000008E-3</v>
      </c>
      <c r="I9">
        <v>3.35593E-3</v>
      </c>
    </row>
    <row r="10" spans="1:9" x14ac:dyDescent="0.4">
      <c r="A10">
        <f t="shared" si="0"/>
        <v>30</v>
      </c>
      <c r="B10">
        <v>5</v>
      </c>
      <c r="C10" t="s">
        <v>13</v>
      </c>
      <c r="D10">
        <v>1.482499E-3</v>
      </c>
      <c r="E10">
        <v>1.9661829999999998E-3</v>
      </c>
      <c r="F10">
        <v>9.84953E-4</v>
      </c>
      <c r="G10">
        <v>7.3851209999999997E-3</v>
      </c>
      <c r="H10">
        <v>9.7828289999999998E-3</v>
      </c>
      <c r="I10">
        <v>4.9126669999999999E-3</v>
      </c>
    </row>
    <row r="11" spans="1:9" x14ac:dyDescent="0.4">
      <c r="A11">
        <f t="shared" si="0"/>
        <v>35</v>
      </c>
      <c r="B11">
        <v>5</v>
      </c>
      <c r="C11" t="s">
        <v>14</v>
      </c>
      <c r="D11">
        <v>1.7847029999999999E-3</v>
      </c>
      <c r="E11">
        <v>2.287992E-3</v>
      </c>
      <c r="F11">
        <v>1.2781439999999999E-3</v>
      </c>
      <c r="G11">
        <v>8.8838800000000002E-3</v>
      </c>
      <c r="H11">
        <v>1.1374898E-2</v>
      </c>
      <c r="I11">
        <v>6.3703650000000002E-3</v>
      </c>
    </row>
    <row r="12" spans="1:9" x14ac:dyDescent="0.4">
      <c r="A12">
        <f t="shared" si="0"/>
        <v>40</v>
      </c>
      <c r="B12">
        <v>5</v>
      </c>
      <c r="C12" t="s">
        <v>15</v>
      </c>
      <c r="D12">
        <v>2.1243690000000001E-3</v>
      </c>
      <c r="E12">
        <v>2.633023E-3</v>
      </c>
      <c r="F12">
        <v>1.61936E-3</v>
      </c>
      <c r="G12">
        <v>1.0565732E-2</v>
      </c>
      <c r="H12">
        <v>1.3079019000000001E-2</v>
      </c>
      <c r="I12">
        <v>8.0641540000000005E-3</v>
      </c>
    </row>
    <row r="13" spans="1:9" x14ac:dyDescent="0.4">
      <c r="A13">
        <f t="shared" si="0"/>
        <v>45</v>
      </c>
      <c r="B13">
        <v>5</v>
      </c>
      <c r="C13" t="s">
        <v>16</v>
      </c>
      <c r="D13">
        <v>3.0423030000000001E-3</v>
      </c>
      <c r="E13">
        <v>3.664498E-3</v>
      </c>
      <c r="F13">
        <v>2.4248550000000001E-3</v>
      </c>
      <c r="G13">
        <v>1.5096694000000001E-2</v>
      </c>
      <c r="H13">
        <v>1.8156156E-2</v>
      </c>
      <c r="I13">
        <v>1.2051218000000001E-2</v>
      </c>
    </row>
    <row r="14" spans="1:9" x14ac:dyDescent="0.4">
      <c r="A14">
        <f t="shared" si="0"/>
        <v>50</v>
      </c>
      <c r="B14">
        <v>5</v>
      </c>
      <c r="C14" t="s">
        <v>17</v>
      </c>
      <c r="D14">
        <v>4.7887260000000001E-3</v>
      </c>
      <c r="E14">
        <v>5.707536E-3</v>
      </c>
      <c r="F14">
        <v>3.8632060000000001E-3</v>
      </c>
      <c r="G14">
        <v>2.3660370999999999E-2</v>
      </c>
      <c r="H14">
        <v>2.8136209999999998E-2</v>
      </c>
      <c r="I14">
        <v>1.9131261E-2</v>
      </c>
    </row>
    <row r="15" spans="1:9" x14ac:dyDescent="0.4">
      <c r="A15">
        <f t="shared" si="0"/>
        <v>55</v>
      </c>
      <c r="B15">
        <v>5</v>
      </c>
      <c r="C15" t="s">
        <v>18</v>
      </c>
      <c r="D15">
        <v>7.7995720000000003E-3</v>
      </c>
      <c r="E15">
        <v>9.4697659999999993E-3</v>
      </c>
      <c r="F15">
        <v>6.1572650000000003E-3</v>
      </c>
      <c r="G15">
        <v>3.8251986000000002E-2</v>
      </c>
      <c r="H15">
        <v>4.6253799999999998E-2</v>
      </c>
      <c r="I15">
        <v>3.031961E-2</v>
      </c>
    </row>
    <row r="16" spans="1:9" x14ac:dyDescent="0.4">
      <c r="A16">
        <f t="shared" si="0"/>
        <v>60</v>
      </c>
      <c r="B16">
        <v>5</v>
      </c>
      <c r="C16" t="s">
        <v>19</v>
      </c>
      <c r="D16">
        <v>1.0749544999999999E-2</v>
      </c>
      <c r="E16">
        <v>1.3442595E-2</v>
      </c>
      <c r="F16">
        <v>8.2111049999999998E-3</v>
      </c>
      <c r="G16">
        <v>5.2341116E-2</v>
      </c>
      <c r="H16">
        <v>6.5027625000000006E-2</v>
      </c>
      <c r="I16">
        <v>4.0229699000000001E-2</v>
      </c>
    </row>
    <row r="17" spans="1:9" x14ac:dyDescent="0.4">
      <c r="A17">
        <f t="shared" si="0"/>
        <v>65</v>
      </c>
      <c r="B17">
        <v>5</v>
      </c>
      <c r="C17" t="s">
        <v>20</v>
      </c>
      <c r="D17">
        <v>1.4893778999999999E-2</v>
      </c>
      <c r="E17">
        <v>1.8365065E-2</v>
      </c>
      <c r="F17">
        <v>1.1760425999999999E-2</v>
      </c>
      <c r="G17">
        <v>7.1795623000000003E-2</v>
      </c>
      <c r="H17">
        <v>8.7794448999999997E-2</v>
      </c>
      <c r="I17">
        <v>5.7122663999999997E-2</v>
      </c>
    </row>
    <row r="18" spans="1:9" x14ac:dyDescent="0.4">
      <c r="A18">
        <f t="shared" si="0"/>
        <v>70</v>
      </c>
      <c r="B18">
        <v>5</v>
      </c>
      <c r="C18" t="s">
        <v>21</v>
      </c>
      <c r="D18">
        <v>2.3422847E-2</v>
      </c>
      <c r="E18">
        <v>2.8976080000000001E-2</v>
      </c>
      <c r="F18">
        <v>1.8653920000000001E-2</v>
      </c>
      <c r="G18">
        <v>0.110635727</v>
      </c>
      <c r="H18">
        <v>0.135094151</v>
      </c>
      <c r="I18">
        <v>8.9113793999999996E-2</v>
      </c>
    </row>
    <row r="19" spans="1:9" x14ac:dyDescent="0.4">
      <c r="A19">
        <f t="shared" si="0"/>
        <v>75</v>
      </c>
      <c r="B19">
        <v>5</v>
      </c>
      <c r="C19" t="s">
        <v>22</v>
      </c>
      <c r="D19">
        <v>3.5503730999999997E-2</v>
      </c>
      <c r="E19">
        <v>4.1799360000000001E-2</v>
      </c>
      <c r="F19">
        <v>3.0455098E-2</v>
      </c>
      <c r="G19">
        <v>0.163046736</v>
      </c>
      <c r="H19">
        <v>0.189223269</v>
      </c>
      <c r="I19">
        <v>0.14150186000000001</v>
      </c>
    </row>
    <row r="20" spans="1:9" x14ac:dyDescent="0.4">
      <c r="A20">
        <f t="shared" si="0"/>
        <v>80</v>
      </c>
      <c r="B20">
        <v>5</v>
      </c>
      <c r="C20" t="s">
        <v>23</v>
      </c>
      <c r="D20">
        <v>5.7805256999999999E-2</v>
      </c>
      <c r="E20">
        <v>6.5844337000000003E-2</v>
      </c>
      <c r="F20">
        <v>5.1638251000000003E-2</v>
      </c>
      <c r="G20">
        <v>0.25253208199999999</v>
      </c>
      <c r="H20">
        <v>0.28268815200000003</v>
      </c>
      <c r="I20">
        <v>0.22867084800000001</v>
      </c>
    </row>
    <row r="21" spans="1:9" x14ac:dyDescent="0.4">
      <c r="A21">
        <f t="shared" si="0"/>
        <v>85</v>
      </c>
      <c r="B21" t="s">
        <v>41</v>
      </c>
      <c r="C21" t="s">
        <v>24</v>
      </c>
      <c r="D21">
        <v>0.138644292</v>
      </c>
      <c r="E21">
        <v>0.147244865</v>
      </c>
      <c r="F21">
        <v>0.13372952199999999</v>
      </c>
      <c r="G21">
        <v>1</v>
      </c>
      <c r="H21">
        <v>1</v>
      </c>
      <c r="I21">
        <v>1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572A-73C5-4E22-80F6-482C5F15E1F1}">
  <dimension ref="A1:K45"/>
  <sheetViews>
    <sheetView topLeftCell="A21" workbookViewId="0">
      <selection activeCell="H32" sqref="H32"/>
    </sheetView>
  </sheetViews>
  <sheetFormatPr defaultRowHeight="14.6" x14ac:dyDescent="0.4"/>
  <sheetData>
    <row r="1" spans="1:9" x14ac:dyDescent="0.4">
      <c r="B1" t="s">
        <v>29</v>
      </c>
      <c r="C1">
        <v>2019</v>
      </c>
      <c r="D1" s="9" t="s">
        <v>37</v>
      </c>
      <c r="E1" s="9"/>
      <c r="F1" s="9"/>
      <c r="G1" s="9" t="s">
        <v>38</v>
      </c>
      <c r="H1" s="9"/>
      <c r="I1" s="9"/>
    </row>
    <row r="2" spans="1:9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6</v>
      </c>
      <c r="D3">
        <v>1.881862E-3</v>
      </c>
      <c r="E3">
        <v>1.967777E-3</v>
      </c>
      <c r="F3">
        <v>1.7911800000000001E-3</v>
      </c>
      <c r="G3">
        <v>1.87868E-3</v>
      </c>
      <c r="H3">
        <v>1.9642980000000002E-3</v>
      </c>
      <c r="I3">
        <v>1.7882970000000001E-3</v>
      </c>
    </row>
    <row r="4" spans="1:9" x14ac:dyDescent="0.4">
      <c r="A4">
        <v>1</v>
      </c>
      <c r="B4">
        <v>4</v>
      </c>
      <c r="C4" t="s">
        <v>7</v>
      </c>
      <c r="D4">
        <v>1.64716E-4</v>
      </c>
      <c r="E4">
        <v>1.7560000000000001E-4</v>
      </c>
      <c r="F4">
        <v>1.5322999999999999E-4</v>
      </c>
      <c r="G4">
        <v>6.5860199999999999E-4</v>
      </c>
      <c r="H4">
        <v>7.0210400000000005E-4</v>
      </c>
      <c r="I4">
        <v>6.1269700000000005E-4</v>
      </c>
    </row>
    <row r="5" spans="1:9" x14ac:dyDescent="0.4">
      <c r="A5">
        <v>5</v>
      </c>
      <c r="B5">
        <v>5</v>
      </c>
      <c r="C5" t="s">
        <v>8</v>
      </c>
      <c r="D5" s="1">
        <v>7.1099999999999994E-5</v>
      </c>
      <c r="E5" s="1">
        <v>7.5799999999999999E-5</v>
      </c>
      <c r="F5" s="1">
        <v>6.6199999999999996E-5</v>
      </c>
      <c r="G5">
        <v>3.5566200000000002E-4</v>
      </c>
      <c r="H5">
        <v>3.7916099999999998E-4</v>
      </c>
      <c r="I5">
        <v>3.30868E-4</v>
      </c>
    </row>
    <row r="6" spans="1:9" x14ac:dyDescent="0.4">
      <c r="A6">
        <f>A5+5</f>
        <v>10</v>
      </c>
      <c r="B6">
        <v>5</v>
      </c>
      <c r="C6" t="s">
        <v>9</v>
      </c>
      <c r="D6" s="1">
        <v>7.86E-5</v>
      </c>
      <c r="E6" s="1">
        <v>8.9900000000000003E-5</v>
      </c>
      <c r="F6" s="1">
        <v>6.6600000000000006E-5</v>
      </c>
      <c r="G6">
        <v>3.9272999999999999E-4</v>
      </c>
      <c r="H6">
        <v>4.4927900000000002E-4</v>
      </c>
      <c r="I6">
        <v>3.3307999999999998E-4</v>
      </c>
    </row>
    <row r="7" spans="1:9" x14ac:dyDescent="0.4">
      <c r="A7">
        <f t="shared" ref="A7:A21" si="0">A6+5</f>
        <v>15</v>
      </c>
      <c r="B7">
        <v>5</v>
      </c>
      <c r="C7" t="s">
        <v>10</v>
      </c>
      <c r="D7">
        <v>1.88495E-4</v>
      </c>
      <c r="E7">
        <v>2.5298200000000001E-4</v>
      </c>
      <c r="F7">
        <v>1.2052700000000001E-4</v>
      </c>
      <c r="G7">
        <v>9.4202999999999995E-4</v>
      </c>
      <c r="H7">
        <v>1.264112E-3</v>
      </c>
      <c r="I7">
        <v>6.0245199999999996E-4</v>
      </c>
    </row>
    <row r="8" spans="1:9" x14ac:dyDescent="0.4">
      <c r="A8">
        <f t="shared" si="0"/>
        <v>20</v>
      </c>
      <c r="B8">
        <v>5</v>
      </c>
      <c r="C8" t="s">
        <v>11</v>
      </c>
      <c r="D8">
        <v>3.2078400000000001E-4</v>
      </c>
      <c r="E8">
        <v>4.51395E-4</v>
      </c>
      <c r="F8">
        <v>1.8332400000000001E-4</v>
      </c>
      <c r="G8">
        <v>1.602635E-3</v>
      </c>
      <c r="H8">
        <v>2.25443E-3</v>
      </c>
      <c r="I8">
        <v>9.1620099999999995E-4</v>
      </c>
    </row>
    <row r="9" spans="1:9" x14ac:dyDescent="0.4">
      <c r="A9">
        <f t="shared" si="0"/>
        <v>25</v>
      </c>
      <c r="B9">
        <v>5</v>
      </c>
      <c r="C9" t="s">
        <v>12</v>
      </c>
      <c r="D9">
        <v>3.3363000000000002E-4</v>
      </c>
      <c r="E9">
        <v>4.4812600000000003E-4</v>
      </c>
      <c r="F9">
        <v>2.1335000000000001E-4</v>
      </c>
      <c r="G9">
        <v>1.66676E-3</v>
      </c>
      <c r="H9">
        <v>2.2381229999999998E-3</v>
      </c>
      <c r="I9">
        <v>1.066181E-3</v>
      </c>
    </row>
    <row r="10" spans="1:9" x14ac:dyDescent="0.4">
      <c r="A10">
        <f t="shared" si="0"/>
        <v>30</v>
      </c>
      <c r="B10">
        <v>5</v>
      </c>
      <c r="C10" t="s">
        <v>13</v>
      </c>
      <c r="D10">
        <v>4.2548E-4</v>
      </c>
      <c r="E10">
        <v>5.5155000000000004E-4</v>
      </c>
      <c r="F10">
        <v>2.9331399999999998E-4</v>
      </c>
      <c r="G10">
        <v>2.125142E-3</v>
      </c>
      <c r="H10">
        <v>2.7539539999999999E-3</v>
      </c>
      <c r="I10">
        <v>1.4654939999999999E-3</v>
      </c>
    </row>
    <row r="11" spans="1:9" x14ac:dyDescent="0.4">
      <c r="A11">
        <f t="shared" si="0"/>
        <v>35</v>
      </c>
      <c r="B11">
        <v>5</v>
      </c>
      <c r="C11" t="s">
        <v>14</v>
      </c>
      <c r="D11">
        <v>5.6679799999999998E-4</v>
      </c>
      <c r="E11">
        <v>7.1350299999999999E-4</v>
      </c>
      <c r="F11">
        <v>4.1368299999999998E-4</v>
      </c>
      <c r="G11">
        <v>2.8299779999999999E-3</v>
      </c>
      <c r="H11">
        <v>3.5611620000000001E-3</v>
      </c>
      <c r="I11">
        <v>2.066277E-3</v>
      </c>
    </row>
    <row r="12" spans="1:9" x14ac:dyDescent="0.4">
      <c r="A12">
        <f t="shared" si="0"/>
        <v>40</v>
      </c>
      <c r="B12">
        <v>5</v>
      </c>
      <c r="C12" t="s">
        <v>15</v>
      </c>
      <c r="D12">
        <v>8.4782900000000003E-4</v>
      </c>
      <c r="E12">
        <v>1.032926E-3</v>
      </c>
      <c r="F12">
        <v>6.5625799999999995E-4</v>
      </c>
      <c r="G12">
        <v>4.2301780000000002E-3</v>
      </c>
      <c r="H12">
        <v>5.1513260000000003E-3</v>
      </c>
      <c r="I12">
        <v>3.2759130000000001E-3</v>
      </c>
    </row>
    <row r="13" spans="1:9" x14ac:dyDescent="0.4">
      <c r="A13">
        <f t="shared" si="0"/>
        <v>45</v>
      </c>
      <c r="B13">
        <v>5</v>
      </c>
      <c r="C13" t="s">
        <v>16</v>
      </c>
      <c r="D13">
        <v>1.4167310000000001E-3</v>
      </c>
      <c r="E13">
        <v>1.7457429999999999E-3</v>
      </c>
      <c r="F13">
        <v>1.0767610000000001E-3</v>
      </c>
      <c r="G13">
        <v>7.058656E-3</v>
      </c>
      <c r="H13">
        <v>8.690784E-3</v>
      </c>
      <c r="I13">
        <v>5.3693500000000002E-3</v>
      </c>
    </row>
    <row r="14" spans="1:9" x14ac:dyDescent="0.4">
      <c r="A14">
        <f t="shared" si="0"/>
        <v>50</v>
      </c>
      <c r="B14">
        <v>5</v>
      </c>
      <c r="C14" t="s">
        <v>17</v>
      </c>
      <c r="D14">
        <v>2.2945159999999999E-3</v>
      </c>
      <c r="E14">
        <v>2.93538E-3</v>
      </c>
      <c r="F14">
        <v>1.643809E-3</v>
      </c>
      <c r="G14">
        <v>1.1407145E-2</v>
      </c>
      <c r="H14">
        <v>1.4569977E-2</v>
      </c>
      <c r="I14">
        <v>8.1854070000000004E-3</v>
      </c>
    </row>
    <row r="15" spans="1:9" x14ac:dyDescent="0.4">
      <c r="A15">
        <f t="shared" si="0"/>
        <v>55</v>
      </c>
      <c r="B15">
        <v>5</v>
      </c>
      <c r="C15" t="s">
        <v>18</v>
      </c>
      <c r="D15">
        <v>3.3916179999999999E-3</v>
      </c>
      <c r="E15">
        <v>4.4844869999999997E-3</v>
      </c>
      <c r="F15">
        <v>2.2859450000000002E-3</v>
      </c>
      <c r="G15">
        <v>1.6815510999999998E-2</v>
      </c>
      <c r="H15">
        <v>2.2173839000000001E-2</v>
      </c>
      <c r="I15">
        <v>1.1364776E-2</v>
      </c>
    </row>
    <row r="16" spans="1:9" x14ac:dyDescent="0.4">
      <c r="A16">
        <f t="shared" si="0"/>
        <v>60</v>
      </c>
      <c r="B16">
        <v>5</v>
      </c>
      <c r="C16" t="s">
        <v>19</v>
      </c>
      <c r="D16">
        <v>5.4081479999999998E-3</v>
      </c>
      <c r="E16">
        <v>7.4210109999999999E-3</v>
      </c>
      <c r="F16">
        <v>3.4150980000000001E-3</v>
      </c>
      <c r="G16">
        <v>2.6680015000000001E-2</v>
      </c>
      <c r="H16">
        <v>3.6429200000000002E-2</v>
      </c>
      <c r="I16">
        <v>1.6930938E-2</v>
      </c>
    </row>
    <row r="17" spans="1:11" x14ac:dyDescent="0.4">
      <c r="A17">
        <f t="shared" si="0"/>
        <v>65</v>
      </c>
      <c r="B17">
        <v>5</v>
      </c>
      <c r="C17" t="s">
        <v>20</v>
      </c>
      <c r="D17">
        <v>9.5302949999999994E-3</v>
      </c>
      <c r="E17">
        <v>1.3597791999999999E-2</v>
      </c>
      <c r="F17">
        <v>5.6600820000000003E-3</v>
      </c>
      <c r="G17">
        <v>4.6542563000000002E-2</v>
      </c>
      <c r="H17">
        <v>6.5753696E-2</v>
      </c>
      <c r="I17">
        <v>2.7905541999999998E-2</v>
      </c>
    </row>
    <row r="18" spans="1:11" x14ac:dyDescent="0.4">
      <c r="A18">
        <f t="shared" si="0"/>
        <v>70</v>
      </c>
      <c r="B18">
        <v>5</v>
      </c>
      <c r="C18" t="s">
        <v>21</v>
      </c>
      <c r="D18">
        <v>1.2775025000000001E-2</v>
      </c>
      <c r="E18">
        <v>1.8523168E-2</v>
      </c>
      <c r="F18">
        <v>7.6545830000000004E-3</v>
      </c>
      <c r="G18">
        <v>6.1898244999999998E-2</v>
      </c>
      <c r="H18">
        <v>8.8516812E-2</v>
      </c>
      <c r="I18">
        <v>3.7554259999999999E-2</v>
      </c>
    </row>
    <row r="19" spans="1:11" x14ac:dyDescent="0.4">
      <c r="A19">
        <f t="shared" si="0"/>
        <v>75</v>
      </c>
      <c r="B19">
        <v>5</v>
      </c>
      <c r="C19" t="s">
        <v>22</v>
      </c>
      <c r="D19">
        <v>2.2959446000000001E-2</v>
      </c>
      <c r="E19">
        <v>3.2807273999999997E-2</v>
      </c>
      <c r="F19">
        <v>1.50379E-2</v>
      </c>
      <c r="G19">
        <v>0.108565708</v>
      </c>
      <c r="H19">
        <v>0.151602232</v>
      </c>
      <c r="I19">
        <v>7.2465190999999998E-2</v>
      </c>
    </row>
    <row r="20" spans="1:11" x14ac:dyDescent="0.4">
      <c r="A20">
        <f t="shared" si="0"/>
        <v>80</v>
      </c>
      <c r="B20">
        <v>5</v>
      </c>
      <c r="C20" t="s">
        <v>23</v>
      </c>
      <c r="D20">
        <v>4.3537859999999998E-2</v>
      </c>
      <c r="E20">
        <v>6.1522949E-2</v>
      </c>
      <c r="F20">
        <v>3.0966477999999999E-2</v>
      </c>
      <c r="G20">
        <v>0.196320827</v>
      </c>
      <c r="H20">
        <v>0.26660840699999999</v>
      </c>
      <c r="I20">
        <v>0.14370713199999999</v>
      </c>
    </row>
    <row r="21" spans="1:11" x14ac:dyDescent="0.4">
      <c r="A21">
        <f t="shared" si="0"/>
        <v>85</v>
      </c>
      <c r="B21" t="s">
        <v>41</v>
      </c>
      <c r="C21" t="s">
        <v>24</v>
      </c>
      <c r="D21">
        <v>0.11127815000000001</v>
      </c>
      <c r="E21">
        <v>0.13574467300000001</v>
      </c>
      <c r="F21">
        <v>0.10010164100000001</v>
      </c>
      <c r="G21">
        <v>1</v>
      </c>
      <c r="H21">
        <v>1</v>
      </c>
      <c r="I21">
        <v>1</v>
      </c>
    </row>
    <row r="26" spans="1:11" x14ac:dyDescent="0.4">
      <c r="A26" t="s">
        <v>1</v>
      </c>
      <c r="B26" t="s">
        <v>39</v>
      </c>
      <c r="C26" t="s">
        <v>40</v>
      </c>
      <c r="D26" s="2" t="s">
        <v>44</v>
      </c>
      <c r="E26" s="2" t="s">
        <v>45</v>
      </c>
      <c r="F26" s="2" t="s">
        <v>48</v>
      </c>
      <c r="G26" s="2" t="s">
        <v>49</v>
      </c>
      <c r="H26" s="2" t="s">
        <v>50</v>
      </c>
      <c r="I26" s="2" t="s">
        <v>51</v>
      </c>
      <c r="J26" s="2" t="s">
        <v>52</v>
      </c>
      <c r="K26" s="2" t="s">
        <v>53</v>
      </c>
    </row>
    <row r="27" spans="1:11" x14ac:dyDescent="0.4">
      <c r="A27" t="s">
        <v>6</v>
      </c>
      <c r="B27">
        <v>0</v>
      </c>
      <c r="C27">
        <v>1</v>
      </c>
      <c r="D27">
        <v>1.881862E-3</v>
      </c>
      <c r="E27">
        <f>1-EXP(-C27*D27)</f>
        <v>1.8800924079231951E-3</v>
      </c>
      <c r="F27">
        <f>1-E27</f>
        <v>0.9981199075920768</v>
      </c>
      <c r="G27" s="7">
        <v>100000</v>
      </c>
      <c r="H27" s="7">
        <f>G27-G28</f>
        <v>188.00924079232209</v>
      </c>
      <c r="I27">
        <f>1/2*(G27+G28)*C27</f>
        <v>99905.995379603846</v>
      </c>
      <c r="J27">
        <f>SUM(I27:I45)</f>
        <v>8527228.5381901916</v>
      </c>
      <c r="K27">
        <f>J27/G27</f>
        <v>85.272285381901909</v>
      </c>
    </row>
    <row r="28" spans="1:11" x14ac:dyDescent="0.4">
      <c r="A28" t="s">
        <v>7</v>
      </c>
      <c r="B28">
        <v>1</v>
      </c>
      <c r="C28">
        <v>4</v>
      </c>
      <c r="D28">
        <v>1.64716E-4</v>
      </c>
      <c r="E28">
        <f t="shared" ref="E28:E44" si="1">1-EXP(-C28*D28)</f>
        <v>6.5864699677586902E-4</v>
      </c>
      <c r="F28">
        <f t="shared" ref="F28:F45" si="2">1-E28</f>
        <v>0.99934135300322413</v>
      </c>
      <c r="G28" s="7">
        <f>G27*F27</f>
        <v>99811.990759207678</v>
      </c>
      <c r="H28" s="7">
        <f t="shared" ref="H28:H45" si="3">G28-G29</f>
        <v>65.740867955770227</v>
      </c>
      <c r="I28">
        <f t="shared" ref="I28:I44" si="4">1/2*(G28+G29)*C28</f>
        <v>399116.4813009192</v>
      </c>
      <c r="J28">
        <f t="shared" ref="J28:J45" si="5">SUM(I28:I46)</f>
        <v>8427322.5428105872</v>
      </c>
      <c r="K28">
        <f t="shared" ref="K28:K45" si="6">J28/G28</f>
        <v>84.431965325099625</v>
      </c>
    </row>
    <row r="29" spans="1:11" x14ac:dyDescent="0.4">
      <c r="A29" t="s">
        <v>8</v>
      </c>
      <c r="B29">
        <v>5</v>
      </c>
      <c r="C29">
        <v>5</v>
      </c>
      <c r="D29" s="1">
        <v>7.1099999999999994E-5</v>
      </c>
      <c r="E29">
        <f t="shared" si="1"/>
        <v>3.5543681736238675E-4</v>
      </c>
      <c r="F29">
        <f t="shared" si="2"/>
        <v>0.99964456318263761</v>
      </c>
      <c r="G29" s="7">
        <f t="shared" ref="G29:G45" si="7">G28*F28</f>
        <v>99746.249891251908</v>
      </c>
      <c r="H29" s="7">
        <f t="shared" si="3"/>
        <v>35.45348960517731</v>
      </c>
      <c r="I29">
        <f t="shared" si="4"/>
        <v>498642.61573224666</v>
      </c>
      <c r="J29">
        <f t="shared" si="5"/>
        <v>8028206.0615096698</v>
      </c>
      <c r="K29">
        <f t="shared" si="6"/>
        <v>80.486294675362743</v>
      </c>
    </row>
    <row r="30" spans="1:11" x14ac:dyDescent="0.4">
      <c r="A30" t="s">
        <v>9</v>
      </c>
      <c r="B30">
        <f>B29+5</f>
        <v>10</v>
      </c>
      <c r="C30">
        <v>5</v>
      </c>
      <c r="D30" s="1">
        <v>7.86E-5</v>
      </c>
      <c r="E30">
        <f t="shared" si="1"/>
        <v>3.9292278561542382E-4</v>
      </c>
      <c r="F30">
        <f t="shared" si="2"/>
        <v>0.99960707721438458</v>
      </c>
      <c r="G30" s="7">
        <f t="shared" si="7"/>
        <v>99710.79640164673</v>
      </c>
      <c r="H30" s="7">
        <f t="shared" si="3"/>
        <v>39.178643878069124</v>
      </c>
      <c r="I30">
        <f t="shared" si="4"/>
        <v>498456.03539853852</v>
      </c>
      <c r="J30">
        <f t="shared" si="5"/>
        <v>7529563.4457774227</v>
      </c>
      <c r="K30">
        <f t="shared" si="6"/>
        <v>75.51402373166755</v>
      </c>
    </row>
    <row r="31" spans="1:11" x14ac:dyDescent="0.4">
      <c r="A31" t="s">
        <v>10</v>
      </c>
      <c r="B31">
        <f t="shared" ref="B31:B45" si="8">B30+5</f>
        <v>15</v>
      </c>
      <c r="C31">
        <v>5</v>
      </c>
      <c r="D31">
        <v>1.88495E-4</v>
      </c>
      <c r="E31">
        <f t="shared" si="1"/>
        <v>9.4203100993128785E-4</v>
      </c>
      <c r="F31">
        <f t="shared" si="2"/>
        <v>0.99905796899006871</v>
      </c>
      <c r="G31" s="7">
        <f t="shared" si="7"/>
        <v>99671.617757768661</v>
      </c>
      <c r="H31" s="7">
        <f t="shared" si="3"/>
        <v>93.893754737830022</v>
      </c>
      <c r="I31">
        <f t="shared" si="4"/>
        <v>498123.35440199875</v>
      </c>
      <c r="J31">
        <f t="shared" si="5"/>
        <v>7031107.4103788855</v>
      </c>
      <c r="K31">
        <f t="shared" si="6"/>
        <v>70.542723882204299</v>
      </c>
    </row>
    <row r="32" spans="1:11" x14ac:dyDescent="0.4">
      <c r="A32" t="s">
        <v>11</v>
      </c>
      <c r="B32">
        <f t="shared" si="8"/>
        <v>20</v>
      </c>
      <c r="C32">
        <v>5</v>
      </c>
      <c r="D32">
        <v>3.2078400000000001E-4</v>
      </c>
      <c r="E32">
        <f t="shared" si="1"/>
        <v>1.6026344077376686E-3</v>
      </c>
      <c r="F32">
        <f t="shared" si="2"/>
        <v>0.99839736559226233</v>
      </c>
      <c r="G32" s="7">
        <f t="shared" si="7"/>
        <v>99577.724003030831</v>
      </c>
      <c r="H32" s="7">
        <f t="shared" si="3"/>
        <v>159.58668673146167</v>
      </c>
      <c r="I32">
        <f t="shared" si="4"/>
        <v>497489.65329832549</v>
      </c>
      <c r="J32">
        <f t="shared" si="5"/>
        <v>6532984.0559768854</v>
      </c>
      <c r="K32">
        <f t="shared" si="6"/>
        <v>65.60688267767641</v>
      </c>
    </row>
    <row r="33" spans="1:11" x14ac:dyDescent="0.4">
      <c r="A33" t="s">
        <v>12</v>
      </c>
      <c r="B33">
        <f t="shared" si="8"/>
        <v>25</v>
      </c>
      <c r="C33">
        <v>5</v>
      </c>
      <c r="D33">
        <v>3.3363000000000002E-4</v>
      </c>
      <c r="E33">
        <f t="shared" si="1"/>
        <v>1.6667594111331452E-3</v>
      </c>
      <c r="F33">
        <f t="shared" si="2"/>
        <v>0.99833324058886685</v>
      </c>
      <c r="G33" s="7">
        <f t="shared" si="7"/>
        <v>99418.13731629937</v>
      </c>
      <c r="H33" s="7">
        <f t="shared" si="3"/>
        <v>165.70611600927077</v>
      </c>
      <c r="I33">
        <f t="shared" si="4"/>
        <v>496676.42129147367</v>
      </c>
      <c r="J33">
        <f t="shared" si="5"/>
        <v>6035494.4026785605</v>
      </c>
      <c r="K33">
        <f t="shared" si="6"/>
        <v>60.708182285457639</v>
      </c>
    </row>
    <row r="34" spans="1:11" x14ac:dyDescent="0.4">
      <c r="A34" t="s">
        <v>13</v>
      </c>
      <c r="B34">
        <f t="shared" si="8"/>
        <v>30</v>
      </c>
      <c r="C34">
        <v>5</v>
      </c>
      <c r="D34">
        <v>4.2548E-4</v>
      </c>
      <c r="E34">
        <f t="shared" si="1"/>
        <v>2.1251386884756363E-3</v>
      </c>
      <c r="F34">
        <f t="shared" si="2"/>
        <v>0.99787486131152436</v>
      </c>
      <c r="G34" s="7">
        <f t="shared" si="7"/>
        <v>99252.431200290099</v>
      </c>
      <c r="H34" s="7">
        <f t="shared" si="3"/>
        <v>210.92518146900693</v>
      </c>
      <c r="I34">
        <f t="shared" si="4"/>
        <v>495734.84304777801</v>
      </c>
      <c r="J34">
        <f t="shared" si="5"/>
        <v>5538817.9813870862</v>
      </c>
      <c r="K34">
        <f t="shared" si="6"/>
        <v>55.805363298454871</v>
      </c>
    </row>
    <row r="35" spans="1:11" x14ac:dyDescent="0.4">
      <c r="A35" t="s">
        <v>14</v>
      </c>
      <c r="B35">
        <f t="shared" si="8"/>
        <v>35</v>
      </c>
      <c r="C35">
        <v>5</v>
      </c>
      <c r="D35">
        <v>5.6679799999999998E-4</v>
      </c>
      <c r="E35">
        <f t="shared" si="1"/>
        <v>2.8299780411852327E-3</v>
      </c>
      <c r="F35">
        <f t="shared" si="2"/>
        <v>0.99717002195881477</v>
      </c>
      <c r="G35" s="7">
        <f t="shared" si="7"/>
        <v>99041.506018821092</v>
      </c>
      <c r="H35" s="7">
        <f t="shared" si="3"/>
        <v>280.28528719917813</v>
      </c>
      <c r="I35">
        <f t="shared" si="4"/>
        <v>494506.81687610748</v>
      </c>
      <c r="J35">
        <f t="shared" si="5"/>
        <v>5043083.1383393072</v>
      </c>
      <c r="K35">
        <f t="shared" si="6"/>
        <v>50.918885839447533</v>
      </c>
    </row>
    <row r="36" spans="1:11" x14ac:dyDescent="0.4">
      <c r="A36" t="s">
        <v>15</v>
      </c>
      <c r="B36">
        <f t="shared" si="8"/>
        <v>40</v>
      </c>
      <c r="C36">
        <v>5</v>
      </c>
      <c r="D36">
        <v>8.4782900000000003E-4</v>
      </c>
      <c r="E36">
        <f t="shared" si="1"/>
        <v>4.2301725078771613E-3</v>
      </c>
      <c r="F36">
        <f t="shared" si="2"/>
        <v>0.99576982749212284</v>
      </c>
      <c r="G36" s="7">
        <f t="shared" si="7"/>
        <v>98761.220731621914</v>
      </c>
      <c r="H36" s="7">
        <f t="shared" si="3"/>
        <v>417.7770007832878</v>
      </c>
      <c r="I36">
        <f t="shared" si="4"/>
        <v>492761.66115615139</v>
      </c>
      <c r="J36">
        <f t="shared" si="5"/>
        <v>4548576.3214631993</v>
      </c>
      <c r="K36">
        <f t="shared" si="6"/>
        <v>46.056299099660798</v>
      </c>
    </row>
    <row r="37" spans="1:11" x14ac:dyDescent="0.4">
      <c r="A37" t="s">
        <v>16</v>
      </c>
      <c r="B37">
        <f t="shared" si="8"/>
        <v>45</v>
      </c>
      <c r="C37">
        <v>5</v>
      </c>
      <c r="D37">
        <v>1.4167310000000001E-3</v>
      </c>
      <c r="E37">
        <f t="shared" si="1"/>
        <v>7.0586250519638627E-3</v>
      </c>
      <c r="F37">
        <f t="shared" si="2"/>
        <v>0.99294137494803614</v>
      </c>
      <c r="G37" s="7">
        <f t="shared" si="7"/>
        <v>98343.443730838626</v>
      </c>
      <c r="H37" s="7">
        <f t="shared" si="3"/>
        <v>694.16949561490037</v>
      </c>
      <c r="I37">
        <f t="shared" si="4"/>
        <v>489981.79491515592</v>
      </c>
      <c r="J37">
        <f t="shared" si="5"/>
        <v>4055814.6603070479</v>
      </c>
      <c r="K37">
        <f t="shared" si="6"/>
        <v>41.241332481783147</v>
      </c>
    </row>
    <row r="38" spans="1:11" x14ac:dyDescent="0.4">
      <c r="A38" t="s">
        <v>17</v>
      </c>
      <c r="B38">
        <f t="shared" si="8"/>
        <v>50</v>
      </c>
      <c r="C38">
        <v>5</v>
      </c>
      <c r="D38">
        <v>2.2945159999999999E-3</v>
      </c>
      <c r="E38">
        <f t="shared" si="1"/>
        <v>1.1407020904236731E-2</v>
      </c>
      <c r="F38">
        <f t="shared" si="2"/>
        <v>0.98859297909576327</v>
      </c>
      <c r="G38" s="7">
        <f t="shared" si="7"/>
        <v>97649.274235223726</v>
      </c>
      <c r="H38" s="7">
        <f t="shared" si="3"/>
        <v>1113.8873124847451</v>
      </c>
      <c r="I38">
        <f t="shared" si="4"/>
        <v>485461.6528949067</v>
      </c>
      <c r="J38">
        <f t="shared" si="5"/>
        <v>3565832.8653918924</v>
      </c>
      <c r="K38">
        <f t="shared" si="6"/>
        <v>36.516736999010249</v>
      </c>
    </row>
    <row r="39" spans="1:11" x14ac:dyDescent="0.4">
      <c r="A39" t="s">
        <v>18</v>
      </c>
      <c r="B39">
        <f t="shared" si="8"/>
        <v>55</v>
      </c>
      <c r="C39">
        <v>5</v>
      </c>
      <c r="D39">
        <v>3.3916179999999999E-3</v>
      </c>
      <c r="E39">
        <f t="shared" si="1"/>
        <v>1.6815110949834788E-2</v>
      </c>
      <c r="F39">
        <f t="shared" si="2"/>
        <v>0.98318488905016521</v>
      </c>
      <c r="G39" s="7">
        <f t="shared" si="7"/>
        <v>96535.386922738981</v>
      </c>
      <c r="H39" s="7">
        <f t="shared" si="3"/>
        <v>1623.2532416910835</v>
      </c>
      <c r="I39">
        <f t="shared" si="4"/>
        <v>478618.80150946719</v>
      </c>
      <c r="J39">
        <f t="shared" si="5"/>
        <v>3080371.2124969857</v>
      </c>
      <c r="K39">
        <f t="shared" si="6"/>
        <v>31.909243964208962</v>
      </c>
    </row>
    <row r="40" spans="1:11" x14ac:dyDescent="0.4">
      <c r="A40" t="s">
        <v>19</v>
      </c>
      <c r="B40">
        <f t="shared" si="8"/>
        <v>60</v>
      </c>
      <c r="C40">
        <v>5</v>
      </c>
      <c r="D40">
        <v>5.4081479999999998E-3</v>
      </c>
      <c r="E40">
        <f t="shared" si="1"/>
        <v>2.6678412404886886E-2</v>
      </c>
      <c r="F40">
        <f t="shared" si="2"/>
        <v>0.97332158759511311</v>
      </c>
      <c r="G40" s="7">
        <f t="shared" si="7"/>
        <v>94912.133681047897</v>
      </c>
      <c r="H40" s="7">
        <f t="shared" si="3"/>
        <v>2532.1050445707515</v>
      </c>
      <c r="I40">
        <f t="shared" si="4"/>
        <v>468230.40579381259</v>
      </c>
      <c r="J40">
        <f t="shared" si="5"/>
        <v>2601752.4109875183</v>
      </c>
      <c r="K40">
        <f t="shared" si="6"/>
        <v>27.412221283852958</v>
      </c>
    </row>
    <row r="41" spans="1:11" x14ac:dyDescent="0.4">
      <c r="A41" t="s">
        <v>20</v>
      </c>
      <c r="B41">
        <f t="shared" si="8"/>
        <v>65</v>
      </c>
      <c r="C41">
        <v>5</v>
      </c>
      <c r="D41">
        <v>9.5302949999999994E-3</v>
      </c>
      <c r="E41">
        <f t="shared" si="1"/>
        <v>4.6533964074202294E-2</v>
      </c>
      <c r="F41">
        <f t="shared" si="2"/>
        <v>0.95346603592579771</v>
      </c>
      <c r="G41" s="7">
        <f t="shared" si="7"/>
        <v>92380.028636477145</v>
      </c>
      <c r="H41" s="7">
        <f t="shared" si="3"/>
        <v>4298.8089337436104</v>
      </c>
      <c r="I41">
        <f t="shared" si="4"/>
        <v>451153.12084802671</v>
      </c>
      <c r="J41">
        <f t="shared" si="5"/>
        <v>2133522.0051937057</v>
      </c>
      <c r="K41">
        <f t="shared" si="6"/>
        <v>23.095056763722024</v>
      </c>
    </row>
    <row r="42" spans="1:11" x14ac:dyDescent="0.4">
      <c r="A42" t="s">
        <v>21</v>
      </c>
      <c r="B42">
        <f t="shared" si="8"/>
        <v>70</v>
      </c>
      <c r="C42">
        <v>5</v>
      </c>
      <c r="D42">
        <v>1.2775025000000001E-2</v>
      </c>
      <c r="E42">
        <f t="shared" si="1"/>
        <v>6.1877859781134581E-2</v>
      </c>
      <c r="F42">
        <f t="shared" si="2"/>
        <v>0.93812214021886542</v>
      </c>
      <c r="G42" s="7">
        <f t="shared" si="7"/>
        <v>88081.219702733535</v>
      </c>
      <c r="H42" s="7">
        <f t="shared" si="3"/>
        <v>5450.2773621170491</v>
      </c>
      <c r="I42">
        <f t="shared" si="4"/>
        <v>426780.40510837507</v>
      </c>
      <c r="J42">
        <f t="shared" si="5"/>
        <v>1682368.8843456791</v>
      </c>
      <c r="K42">
        <f t="shared" si="6"/>
        <v>19.100199679608522</v>
      </c>
    </row>
    <row r="43" spans="1:11" x14ac:dyDescent="0.4">
      <c r="A43" t="s">
        <v>22</v>
      </c>
      <c r="B43">
        <f t="shared" si="8"/>
        <v>75</v>
      </c>
      <c r="C43">
        <v>5</v>
      </c>
      <c r="D43">
        <v>2.2959446000000001E-2</v>
      </c>
      <c r="E43">
        <f t="shared" si="1"/>
        <v>0.10845309545437065</v>
      </c>
      <c r="F43">
        <f t="shared" si="2"/>
        <v>0.89154690454562935</v>
      </c>
      <c r="G43" s="7">
        <f t="shared" si="7"/>
        <v>82630.942340616486</v>
      </c>
      <c r="H43" s="7">
        <f t="shared" si="3"/>
        <v>8961.5814771514706</v>
      </c>
      <c r="I43">
        <f t="shared" si="4"/>
        <v>390750.75801020372</v>
      </c>
      <c r="J43">
        <f t="shared" si="5"/>
        <v>1255588.4792373041</v>
      </c>
      <c r="K43">
        <f t="shared" si="6"/>
        <v>15.195136878163508</v>
      </c>
    </row>
    <row r="44" spans="1:11" x14ac:dyDescent="0.4">
      <c r="A44" t="s">
        <v>23</v>
      </c>
      <c r="B44">
        <f t="shared" si="8"/>
        <v>80</v>
      </c>
      <c r="C44">
        <v>5</v>
      </c>
      <c r="D44">
        <v>4.3537859999999998E-2</v>
      </c>
      <c r="E44">
        <f t="shared" si="1"/>
        <v>0.19562467774177483</v>
      </c>
      <c r="F44">
        <f t="shared" si="2"/>
        <v>0.80437532225822517</v>
      </c>
      <c r="G44" s="7">
        <f t="shared" si="7"/>
        <v>73669.360863465015</v>
      </c>
      <c r="H44" s="7">
        <f t="shared" si="3"/>
        <v>14411.544978357866</v>
      </c>
      <c r="I44">
        <f t="shared" si="4"/>
        <v>332317.94187143038</v>
      </c>
      <c r="J44">
        <f t="shared" si="5"/>
        <v>864837.72122710035</v>
      </c>
      <c r="K44">
        <f t="shared" si="6"/>
        <v>11.739449224080358</v>
      </c>
    </row>
    <row r="45" spans="1:11" x14ac:dyDescent="0.4">
      <c r="A45" t="s">
        <v>24</v>
      </c>
      <c r="B45">
        <f t="shared" si="8"/>
        <v>85</v>
      </c>
      <c r="C45" t="s">
        <v>41</v>
      </c>
      <c r="D45">
        <v>0.11127815000000001</v>
      </c>
      <c r="E45">
        <v>1</v>
      </c>
      <c r="F45">
        <f t="shared" si="2"/>
        <v>0</v>
      </c>
      <c r="G45" s="7">
        <f t="shared" si="7"/>
        <v>59257.815885107149</v>
      </c>
      <c r="H45" s="7">
        <f t="shared" si="3"/>
        <v>59257.815885107149</v>
      </c>
      <c r="I45">
        <f>G45/D45</f>
        <v>532519.77935566998</v>
      </c>
      <c r="J45">
        <f t="shared" si="5"/>
        <v>532519.77935566998</v>
      </c>
      <c r="K45">
        <f t="shared" si="6"/>
        <v>8.9864901600179365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6A85-3ED2-4930-88AC-0B88038625A7}">
  <dimension ref="A1:I21"/>
  <sheetViews>
    <sheetView workbookViewId="0">
      <selection activeCell="A2" sqref="A2:B21"/>
    </sheetView>
  </sheetViews>
  <sheetFormatPr defaultRowHeight="14.6" x14ac:dyDescent="0.4"/>
  <sheetData>
    <row r="1" spans="1:9" x14ac:dyDescent="0.4">
      <c r="B1" t="s">
        <v>31</v>
      </c>
      <c r="C1">
        <v>2019</v>
      </c>
      <c r="D1" s="9" t="s">
        <v>37</v>
      </c>
      <c r="E1" s="9"/>
      <c r="F1" s="9"/>
      <c r="G1" s="9" t="s">
        <v>38</v>
      </c>
      <c r="H1" s="9"/>
      <c r="I1" s="9"/>
    </row>
    <row r="2" spans="1:9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6</v>
      </c>
      <c r="D3">
        <v>1.881862E-3</v>
      </c>
      <c r="E3">
        <v>1.967777E-3</v>
      </c>
      <c r="F3">
        <v>1.7911800000000001E-3</v>
      </c>
      <c r="G3">
        <v>1.87868E-3</v>
      </c>
      <c r="H3">
        <v>1.9642980000000002E-3</v>
      </c>
      <c r="I3">
        <v>1.7882970000000001E-3</v>
      </c>
    </row>
    <row r="4" spans="1:9" x14ac:dyDescent="0.4">
      <c r="A4">
        <v>1</v>
      </c>
      <c r="B4">
        <v>4</v>
      </c>
      <c r="C4" t="s">
        <v>7</v>
      </c>
      <c r="D4">
        <v>1.64716E-4</v>
      </c>
      <c r="E4">
        <v>1.7560000000000001E-4</v>
      </c>
      <c r="F4">
        <v>1.5322999999999999E-4</v>
      </c>
      <c r="G4">
        <v>6.5860199999999999E-4</v>
      </c>
      <c r="H4">
        <v>7.0210400000000005E-4</v>
      </c>
      <c r="I4">
        <v>6.1269700000000005E-4</v>
      </c>
    </row>
    <row r="5" spans="1:9" x14ac:dyDescent="0.4">
      <c r="A5">
        <v>5</v>
      </c>
      <c r="B5">
        <v>5</v>
      </c>
      <c r="C5" t="s">
        <v>8</v>
      </c>
      <c r="D5" s="1">
        <v>7.1099999999999994E-5</v>
      </c>
      <c r="E5" s="1">
        <v>7.5799999999999999E-5</v>
      </c>
      <c r="F5" s="1">
        <v>6.6199999999999996E-5</v>
      </c>
      <c r="G5">
        <v>3.5566200000000002E-4</v>
      </c>
      <c r="H5">
        <v>3.7916099999999998E-4</v>
      </c>
      <c r="I5">
        <v>3.30868E-4</v>
      </c>
    </row>
    <row r="6" spans="1:9" x14ac:dyDescent="0.4">
      <c r="A6">
        <f>A5+5</f>
        <v>10</v>
      </c>
      <c r="B6">
        <v>5</v>
      </c>
      <c r="C6" t="s">
        <v>9</v>
      </c>
      <c r="D6" s="1">
        <v>7.86E-5</v>
      </c>
      <c r="E6" s="1">
        <v>8.9900000000000003E-5</v>
      </c>
      <c r="F6" s="1">
        <v>6.6600000000000006E-5</v>
      </c>
      <c r="G6">
        <v>3.9272999999999999E-4</v>
      </c>
      <c r="H6">
        <v>4.4927900000000002E-4</v>
      </c>
      <c r="I6">
        <v>3.3307999999999998E-4</v>
      </c>
    </row>
    <row r="7" spans="1:9" x14ac:dyDescent="0.4">
      <c r="A7">
        <f t="shared" ref="A7:A21" si="0">A6+5</f>
        <v>15</v>
      </c>
      <c r="B7">
        <v>5</v>
      </c>
      <c r="C7" t="s">
        <v>10</v>
      </c>
      <c r="D7">
        <v>1.88495E-4</v>
      </c>
      <c r="E7">
        <v>2.5298200000000001E-4</v>
      </c>
      <c r="F7">
        <v>1.2052700000000001E-4</v>
      </c>
      <c r="G7">
        <v>9.4202999999999995E-4</v>
      </c>
      <c r="H7">
        <v>1.264112E-3</v>
      </c>
      <c r="I7">
        <v>6.0245199999999996E-4</v>
      </c>
    </row>
    <row r="8" spans="1:9" x14ac:dyDescent="0.4">
      <c r="A8">
        <f t="shared" si="0"/>
        <v>20</v>
      </c>
      <c r="B8">
        <v>5</v>
      </c>
      <c r="C8" t="s">
        <v>11</v>
      </c>
      <c r="D8">
        <v>3.2078400000000001E-4</v>
      </c>
      <c r="E8">
        <v>4.51395E-4</v>
      </c>
      <c r="F8">
        <v>1.8332400000000001E-4</v>
      </c>
      <c r="G8">
        <v>1.602635E-3</v>
      </c>
      <c r="H8">
        <v>2.25443E-3</v>
      </c>
      <c r="I8">
        <v>9.1620099999999995E-4</v>
      </c>
    </row>
    <row r="9" spans="1:9" x14ac:dyDescent="0.4">
      <c r="A9">
        <f t="shared" si="0"/>
        <v>25</v>
      </c>
      <c r="B9">
        <v>5</v>
      </c>
      <c r="C9" t="s">
        <v>12</v>
      </c>
      <c r="D9">
        <v>3.3363000000000002E-4</v>
      </c>
      <c r="E9">
        <v>4.4812600000000003E-4</v>
      </c>
      <c r="F9">
        <v>2.1335000000000001E-4</v>
      </c>
      <c r="G9">
        <v>1.66676E-3</v>
      </c>
      <c r="H9">
        <v>2.2381229999999998E-3</v>
      </c>
      <c r="I9">
        <v>1.066181E-3</v>
      </c>
    </row>
    <row r="10" spans="1:9" x14ac:dyDescent="0.4">
      <c r="A10">
        <f t="shared" si="0"/>
        <v>30</v>
      </c>
      <c r="B10">
        <v>5</v>
      </c>
      <c r="C10" t="s">
        <v>13</v>
      </c>
      <c r="D10">
        <v>4.2548E-4</v>
      </c>
      <c r="E10">
        <v>5.5155000000000004E-4</v>
      </c>
      <c r="F10">
        <v>2.9331399999999998E-4</v>
      </c>
      <c r="G10">
        <v>2.125142E-3</v>
      </c>
      <c r="H10">
        <v>2.7539539999999999E-3</v>
      </c>
      <c r="I10">
        <v>1.4654939999999999E-3</v>
      </c>
    </row>
    <row r="11" spans="1:9" x14ac:dyDescent="0.4">
      <c r="A11">
        <f t="shared" si="0"/>
        <v>35</v>
      </c>
      <c r="B11">
        <v>5</v>
      </c>
      <c r="C11" t="s">
        <v>14</v>
      </c>
      <c r="D11">
        <v>5.6679799999999998E-4</v>
      </c>
      <c r="E11">
        <v>7.1350299999999999E-4</v>
      </c>
      <c r="F11">
        <v>4.1368299999999998E-4</v>
      </c>
      <c r="G11">
        <v>2.8299779999999999E-3</v>
      </c>
      <c r="H11">
        <v>3.5611620000000001E-3</v>
      </c>
      <c r="I11">
        <v>2.066277E-3</v>
      </c>
    </row>
    <row r="12" spans="1:9" x14ac:dyDescent="0.4">
      <c r="A12">
        <f t="shared" si="0"/>
        <v>40</v>
      </c>
      <c r="B12">
        <v>5</v>
      </c>
      <c r="C12" t="s">
        <v>15</v>
      </c>
      <c r="D12">
        <v>8.4782900000000003E-4</v>
      </c>
      <c r="E12">
        <v>1.032926E-3</v>
      </c>
      <c r="F12">
        <v>6.5625799999999995E-4</v>
      </c>
      <c r="G12">
        <v>4.2301780000000002E-3</v>
      </c>
      <c r="H12">
        <v>5.1513260000000003E-3</v>
      </c>
      <c r="I12">
        <v>3.2759130000000001E-3</v>
      </c>
    </row>
    <row r="13" spans="1:9" x14ac:dyDescent="0.4">
      <c r="A13">
        <f t="shared" si="0"/>
        <v>45</v>
      </c>
      <c r="B13">
        <v>5</v>
      </c>
      <c r="C13" t="s">
        <v>16</v>
      </c>
      <c r="D13">
        <v>1.4167310000000001E-3</v>
      </c>
      <c r="E13">
        <v>1.7457429999999999E-3</v>
      </c>
      <c r="F13">
        <v>1.0767610000000001E-3</v>
      </c>
      <c r="G13">
        <v>7.058656E-3</v>
      </c>
      <c r="H13">
        <v>8.690784E-3</v>
      </c>
      <c r="I13">
        <v>5.3693500000000002E-3</v>
      </c>
    </row>
    <row r="14" spans="1:9" x14ac:dyDescent="0.4">
      <c r="A14">
        <f t="shared" si="0"/>
        <v>50</v>
      </c>
      <c r="B14">
        <v>5</v>
      </c>
      <c r="C14" t="s">
        <v>17</v>
      </c>
      <c r="D14">
        <v>2.2945159999999999E-3</v>
      </c>
      <c r="E14">
        <v>2.93538E-3</v>
      </c>
      <c r="F14">
        <v>1.643809E-3</v>
      </c>
      <c r="G14">
        <v>1.1407145E-2</v>
      </c>
      <c r="H14">
        <v>1.4569977E-2</v>
      </c>
      <c r="I14">
        <v>8.1854070000000004E-3</v>
      </c>
    </row>
    <row r="15" spans="1:9" x14ac:dyDescent="0.4">
      <c r="A15">
        <f t="shared" si="0"/>
        <v>55</v>
      </c>
      <c r="B15">
        <v>5</v>
      </c>
      <c r="C15" t="s">
        <v>18</v>
      </c>
      <c r="D15">
        <v>3.3916179999999999E-3</v>
      </c>
      <c r="E15">
        <v>4.4844869999999997E-3</v>
      </c>
      <c r="F15">
        <v>2.2859450000000002E-3</v>
      </c>
      <c r="G15">
        <v>1.6815510999999998E-2</v>
      </c>
      <c r="H15">
        <v>2.2173839000000001E-2</v>
      </c>
      <c r="I15">
        <v>1.1364776E-2</v>
      </c>
    </row>
    <row r="16" spans="1:9" x14ac:dyDescent="0.4">
      <c r="A16">
        <f t="shared" si="0"/>
        <v>60</v>
      </c>
      <c r="B16">
        <v>5</v>
      </c>
      <c r="C16" t="s">
        <v>19</v>
      </c>
      <c r="D16">
        <v>5.4081479999999998E-3</v>
      </c>
      <c r="E16">
        <v>7.4210109999999999E-3</v>
      </c>
      <c r="F16">
        <v>3.4150980000000001E-3</v>
      </c>
      <c r="G16">
        <v>2.6680015000000001E-2</v>
      </c>
      <c r="H16">
        <v>3.6429200000000002E-2</v>
      </c>
      <c r="I16">
        <v>1.6930938E-2</v>
      </c>
    </row>
    <row r="17" spans="1:9" x14ac:dyDescent="0.4">
      <c r="A17">
        <f t="shared" si="0"/>
        <v>65</v>
      </c>
      <c r="B17">
        <v>5</v>
      </c>
      <c r="C17" t="s">
        <v>20</v>
      </c>
      <c r="D17">
        <v>9.5302949999999994E-3</v>
      </c>
      <c r="E17">
        <v>1.3597791999999999E-2</v>
      </c>
      <c r="F17">
        <v>5.6600820000000003E-3</v>
      </c>
      <c r="G17">
        <v>4.6542563000000002E-2</v>
      </c>
      <c r="H17">
        <v>6.5753696E-2</v>
      </c>
      <c r="I17">
        <v>2.7905541999999998E-2</v>
      </c>
    </row>
    <row r="18" spans="1:9" x14ac:dyDescent="0.4">
      <c r="A18">
        <f t="shared" si="0"/>
        <v>70</v>
      </c>
      <c r="B18">
        <v>5</v>
      </c>
      <c r="C18" t="s">
        <v>21</v>
      </c>
      <c r="D18">
        <v>1.2775025000000001E-2</v>
      </c>
      <c r="E18">
        <v>1.8523168E-2</v>
      </c>
      <c r="F18">
        <v>7.6545830000000004E-3</v>
      </c>
      <c r="G18">
        <v>6.1898244999999998E-2</v>
      </c>
      <c r="H18">
        <v>8.8516812E-2</v>
      </c>
      <c r="I18">
        <v>3.7554259999999999E-2</v>
      </c>
    </row>
    <row r="19" spans="1:9" x14ac:dyDescent="0.4">
      <c r="A19">
        <f t="shared" si="0"/>
        <v>75</v>
      </c>
      <c r="B19">
        <v>5</v>
      </c>
      <c r="C19" t="s">
        <v>22</v>
      </c>
      <c r="D19">
        <v>2.2959446000000001E-2</v>
      </c>
      <c r="E19">
        <v>3.2807273999999997E-2</v>
      </c>
      <c r="F19">
        <v>1.50379E-2</v>
      </c>
      <c r="G19">
        <v>0.108565708</v>
      </c>
      <c r="H19">
        <v>0.151602232</v>
      </c>
      <c r="I19">
        <v>7.2465190999999998E-2</v>
      </c>
    </row>
    <row r="20" spans="1:9" x14ac:dyDescent="0.4">
      <c r="A20">
        <f t="shared" si="0"/>
        <v>80</v>
      </c>
      <c r="B20">
        <v>5</v>
      </c>
      <c r="C20" t="s">
        <v>23</v>
      </c>
      <c r="D20">
        <v>4.3537859999999998E-2</v>
      </c>
      <c r="E20">
        <v>6.1522949E-2</v>
      </c>
      <c r="F20">
        <v>3.0966477999999999E-2</v>
      </c>
      <c r="G20">
        <v>0.196320827</v>
      </c>
      <c r="H20">
        <v>0.26660840699999999</v>
      </c>
      <c r="I20">
        <v>0.14370713199999999</v>
      </c>
    </row>
    <row r="21" spans="1:9" x14ac:dyDescent="0.4">
      <c r="A21">
        <f t="shared" si="0"/>
        <v>85</v>
      </c>
      <c r="B21" t="s">
        <v>41</v>
      </c>
      <c r="C21" t="s">
        <v>24</v>
      </c>
      <c r="D21">
        <v>0.11127815000000001</v>
      </c>
      <c r="E21">
        <v>0.13574467300000001</v>
      </c>
      <c r="F21">
        <v>0.10010164100000001</v>
      </c>
      <c r="G21">
        <v>1</v>
      </c>
      <c r="H21">
        <v>1</v>
      </c>
      <c r="I21">
        <v>1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C631-2DC3-40D8-9AEE-032C47688270}">
  <dimension ref="A1:I21"/>
  <sheetViews>
    <sheetView workbookViewId="0">
      <selection activeCell="A2" sqref="A2:B21"/>
    </sheetView>
  </sheetViews>
  <sheetFormatPr defaultRowHeight="14.6" x14ac:dyDescent="0.4"/>
  <sheetData>
    <row r="1" spans="1:9" x14ac:dyDescent="0.4">
      <c r="B1" t="s">
        <v>32</v>
      </c>
      <c r="C1">
        <v>2019</v>
      </c>
      <c r="D1" s="9" t="s">
        <v>37</v>
      </c>
      <c r="E1" s="9"/>
      <c r="F1" s="9"/>
      <c r="G1" s="9" t="s">
        <v>38</v>
      </c>
      <c r="H1" s="9"/>
      <c r="I1" s="9"/>
    </row>
    <row r="2" spans="1:9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6</v>
      </c>
      <c r="D3">
        <v>2.8649956000000001E-2</v>
      </c>
      <c r="E3">
        <v>3.1088138000000001E-2</v>
      </c>
      <c r="F3">
        <v>2.6146184999999999E-2</v>
      </c>
      <c r="G3">
        <v>2.8086678E-2</v>
      </c>
      <c r="H3">
        <v>3.0426016E-2</v>
      </c>
      <c r="I3">
        <v>2.5676250000000001E-2</v>
      </c>
    </row>
    <row r="4" spans="1:9" x14ac:dyDescent="0.4">
      <c r="A4">
        <v>1</v>
      </c>
      <c r="B4">
        <v>4</v>
      </c>
      <c r="C4" t="s">
        <v>7</v>
      </c>
      <c r="D4">
        <v>1.7781209999999999E-3</v>
      </c>
      <c r="E4">
        <v>1.936983E-3</v>
      </c>
      <c r="F4">
        <v>1.6152180000000001E-3</v>
      </c>
      <c r="G4">
        <v>7.0822599999999999E-3</v>
      </c>
      <c r="H4">
        <v>7.7120790000000002E-3</v>
      </c>
      <c r="I4">
        <v>6.4359220000000002E-3</v>
      </c>
    </row>
    <row r="5" spans="1:9" x14ac:dyDescent="0.4">
      <c r="A5">
        <v>5</v>
      </c>
      <c r="B5">
        <v>5</v>
      </c>
      <c r="C5" t="s">
        <v>8</v>
      </c>
      <c r="D5">
        <v>5.0385000000000002E-4</v>
      </c>
      <c r="E5">
        <v>5.4892199999999997E-4</v>
      </c>
      <c r="F5">
        <v>4.57737E-4</v>
      </c>
      <c r="G5">
        <v>2.5160820000000002E-3</v>
      </c>
      <c r="H5">
        <v>2.7408480000000002E-3</v>
      </c>
      <c r="I5">
        <v>2.286068E-3</v>
      </c>
    </row>
    <row r="6" spans="1:9" x14ac:dyDescent="0.4">
      <c r="A6">
        <f>A5+5</f>
        <v>10</v>
      </c>
      <c r="B6">
        <v>5</v>
      </c>
      <c r="C6" t="s">
        <v>9</v>
      </c>
      <c r="D6">
        <v>5.8983600000000005E-4</v>
      </c>
      <c r="E6">
        <v>6.6034199999999996E-4</v>
      </c>
      <c r="F6">
        <v>5.1798700000000003E-4</v>
      </c>
      <c r="G6">
        <v>2.9448349999999998E-3</v>
      </c>
      <c r="H6">
        <v>3.2962669999999999E-3</v>
      </c>
      <c r="I6">
        <v>2.5865839999999998E-3</v>
      </c>
    </row>
    <row r="7" spans="1:9" x14ac:dyDescent="0.4">
      <c r="A7">
        <f t="shared" ref="A7:A21" si="0">A6+5</f>
        <v>15</v>
      </c>
      <c r="B7">
        <v>5</v>
      </c>
      <c r="C7" t="s">
        <v>10</v>
      </c>
      <c r="D7">
        <v>1.4830220000000001E-3</v>
      </c>
      <c r="E7">
        <v>1.6168409999999999E-3</v>
      </c>
      <c r="F7">
        <v>1.3474719999999999E-3</v>
      </c>
      <c r="G7">
        <v>7.3877200000000004E-3</v>
      </c>
      <c r="H7">
        <v>8.0516609999999999E-3</v>
      </c>
      <c r="I7">
        <v>6.7147379999999996E-3</v>
      </c>
    </row>
    <row r="8" spans="1:9" x14ac:dyDescent="0.4">
      <c r="A8">
        <f t="shared" si="0"/>
        <v>20</v>
      </c>
      <c r="B8">
        <v>5</v>
      </c>
      <c r="C8" t="s">
        <v>11</v>
      </c>
      <c r="D8">
        <v>2.9023759999999999E-3</v>
      </c>
      <c r="E8">
        <v>3.1803539999999998E-3</v>
      </c>
      <c r="F8">
        <v>2.6206580000000001E-3</v>
      </c>
      <c r="G8">
        <v>1.4407339999999999E-2</v>
      </c>
      <c r="H8">
        <v>1.5776335999999998E-2</v>
      </c>
      <c r="I8">
        <v>1.3018001E-2</v>
      </c>
    </row>
    <row r="9" spans="1:9" x14ac:dyDescent="0.4">
      <c r="A9">
        <f t="shared" si="0"/>
        <v>25</v>
      </c>
      <c r="B9">
        <v>5</v>
      </c>
      <c r="C9" t="s">
        <v>12</v>
      </c>
      <c r="D9">
        <v>4.9252180000000003E-3</v>
      </c>
      <c r="E9">
        <v>5.3908209999999996E-3</v>
      </c>
      <c r="F9">
        <v>4.4518129999999998E-3</v>
      </c>
      <c r="G9">
        <v>2.4326558000000002E-2</v>
      </c>
      <c r="H9">
        <v>2.6595674999999999E-2</v>
      </c>
      <c r="I9">
        <v>2.2014059999999998E-2</v>
      </c>
    </row>
    <row r="10" spans="1:9" x14ac:dyDescent="0.4">
      <c r="A10">
        <f t="shared" si="0"/>
        <v>30</v>
      </c>
      <c r="B10">
        <v>5</v>
      </c>
      <c r="C10" t="s">
        <v>13</v>
      </c>
      <c r="D10">
        <v>7.2497009999999999E-3</v>
      </c>
      <c r="E10">
        <v>8.2118169999999997E-3</v>
      </c>
      <c r="F10">
        <v>6.2704320000000003E-3</v>
      </c>
      <c r="G10">
        <v>3.5603223000000003E-2</v>
      </c>
      <c r="H10">
        <v>4.0233115999999999E-2</v>
      </c>
      <c r="I10">
        <v>3.0868264999999999E-2</v>
      </c>
    </row>
    <row r="11" spans="1:9" x14ac:dyDescent="0.4">
      <c r="A11">
        <f t="shared" si="0"/>
        <v>35</v>
      </c>
      <c r="B11">
        <v>5</v>
      </c>
      <c r="C11" t="s">
        <v>14</v>
      </c>
      <c r="D11">
        <v>8.7845360000000008E-3</v>
      </c>
      <c r="E11">
        <v>1.0363961E-2</v>
      </c>
      <c r="F11">
        <v>7.1893649999999996E-3</v>
      </c>
      <c r="G11">
        <v>4.2978809999999999E-2</v>
      </c>
      <c r="H11">
        <v>5.0511068999999999E-2</v>
      </c>
      <c r="I11">
        <v>3.5312145000000003E-2</v>
      </c>
    </row>
    <row r="12" spans="1:9" x14ac:dyDescent="0.4">
      <c r="A12">
        <f t="shared" si="0"/>
        <v>40</v>
      </c>
      <c r="B12">
        <v>5</v>
      </c>
      <c r="C12" t="s">
        <v>15</v>
      </c>
      <c r="D12">
        <v>9.9886850000000006E-3</v>
      </c>
      <c r="E12">
        <v>1.2151659E-2</v>
      </c>
      <c r="F12">
        <v>7.8593489999999998E-3</v>
      </c>
      <c r="G12">
        <v>4.8726639000000002E-2</v>
      </c>
      <c r="H12">
        <v>5.8966929000000001E-2</v>
      </c>
      <c r="I12">
        <v>3.8539506000000001E-2</v>
      </c>
    </row>
    <row r="13" spans="1:9" x14ac:dyDescent="0.4">
      <c r="A13">
        <f t="shared" si="0"/>
        <v>45</v>
      </c>
      <c r="B13">
        <v>5</v>
      </c>
      <c r="C13" t="s">
        <v>16</v>
      </c>
      <c r="D13">
        <v>1.0822221999999999E-2</v>
      </c>
      <c r="E13">
        <v>1.3556969E-2</v>
      </c>
      <c r="F13">
        <v>8.2174880000000002E-3</v>
      </c>
      <c r="G13">
        <v>5.2685669999999997E-2</v>
      </c>
      <c r="H13">
        <v>6.5562765999999995E-2</v>
      </c>
      <c r="I13">
        <v>4.0260344000000003E-2</v>
      </c>
    </row>
    <row r="14" spans="1:9" x14ac:dyDescent="0.4">
      <c r="A14">
        <f t="shared" si="0"/>
        <v>50</v>
      </c>
      <c r="B14">
        <v>5</v>
      </c>
      <c r="C14" t="s">
        <v>17</v>
      </c>
      <c r="D14">
        <v>1.297353E-2</v>
      </c>
      <c r="E14">
        <v>1.6607838999999999E-2</v>
      </c>
      <c r="F14">
        <v>9.6282060000000003E-3</v>
      </c>
      <c r="G14">
        <v>6.2829836E-2</v>
      </c>
      <c r="H14">
        <v>7.9728884999999999E-2</v>
      </c>
      <c r="I14">
        <v>4.7009486000000003E-2</v>
      </c>
    </row>
    <row r="15" spans="1:9" x14ac:dyDescent="0.4">
      <c r="A15">
        <f t="shared" si="0"/>
        <v>55</v>
      </c>
      <c r="B15">
        <v>5</v>
      </c>
      <c r="C15" t="s">
        <v>18</v>
      </c>
      <c r="D15">
        <v>1.5430276E-2</v>
      </c>
      <c r="E15">
        <v>2.0014868000000002E-2</v>
      </c>
      <c r="F15">
        <v>1.14287E-2</v>
      </c>
      <c r="G15">
        <v>7.4285754999999995E-2</v>
      </c>
      <c r="H15">
        <v>9.5305521000000004E-2</v>
      </c>
      <c r="I15">
        <v>5.5556161E-2</v>
      </c>
    </row>
    <row r="16" spans="1:9" x14ac:dyDescent="0.4">
      <c r="A16">
        <f t="shared" si="0"/>
        <v>60</v>
      </c>
      <c r="B16">
        <v>5</v>
      </c>
      <c r="C16" t="s">
        <v>19</v>
      </c>
      <c r="D16">
        <v>2.0202741E-2</v>
      </c>
      <c r="E16">
        <v>2.6369244999999999E-2</v>
      </c>
      <c r="F16">
        <v>1.5198799000000001E-2</v>
      </c>
      <c r="G16">
        <v>9.6157112000000003E-2</v>
      </c>
      <c r="H16">
        <v>0.12369206200000001</v>
      </c>
      <c r="I16">
        <v>7.3212153000000002E-2</v>
      </c>
    </row>
    <row r="17" spans="1:9" x14ac:dyDescent="0.4">
      <c r="A17">
        <f t="shared" si="0"/>
        <v>65</v>
      </c>
      <c r="B17">
        <v>5</v>
      </c>
      <c r="C17" t="s">
        <v>20</v>
      </c>
      <c r="D17">
        <v>2.7588392E-2</v>
      </c>
      <c r="E17">
        <v>3.5424866999999999E-2</v>
      </c>
      <c r="F17">
        <v>2.1726037E-2</v>
      </c>
      <c r="G17">
        <v>0.12904182</v>
      </c>
      <c r="H17">
        <v>0.16271402700000001</v>
      </c>
      <c r="I17">
        <v>0.103033892</v>
      </c>
    </row>
    <row r="18" spans="1:9" x14ac:dyDescent="0.4">
      <c r="A18">
        <f t="shared" si="0"/>
        <v>70</v>
      </c>
      <c r="B18">
        <v>5</v>
      </c>
      <c r="C18" t="s">
        <v>21</v>
      </c>
      <c r="D18">
        <v>3.6296851999999998E-2</v>
      </c>
      <c r="E18">
        <v>4.5114769999999998E-2</v>
      </c>
      <c r="F18">
        <v>3.0352836000000001E-2</v>
      </c>
      <c r="G18">
        <v>0.16638603599999999</v>
      </c>
      <c r="H18">
        <v>0.20271072800000001</v>
      </c>
      <c r="I18">
        <v>0.14106023300000001</v>
      </c>
    </row>
    <row r="19" spans="1:9" x14ac:dyDescent="0.4">
      <c r="A19">
        <f t="shared" si="0"/>
        <v>75</v>
      </c>
      <c r="B19">
        <v>5</v>
      </c>
      <c r="C19" t="s">
        <v>22</v>
      </c>
      <c r="D19">
        <v>5.1467613000000002E-2</v>
      </c>
      <c r="E19">
        <v>6.3585644999999996E-2</v>
      </c>
      <c r="F19">
        <v>4.4348931000000001E-2</v>
      </c>
      <c r="G19">
        <v>0.22800135299999999</v>
      </c>
      <c r="H19">
        <v>0.27432102800000002</v>
      </c>
      <c r="I19">
        <v>0.199613086</v>
      </c>
    </row>
    <row r="20" spans="1:9" x14ac:dyDescent="0.4">
      <c r="A20">
        <f t="shared" si="0"/>
        <v>80</v>
      </c>
      <c r="B20">
        <v>5</v>
      </c>
      <c r="C20" t="s">
        <v>23</v>
      </c>
      <c r="D20">
        <v>9.3302219000000006E-2</v>
      </c>
      <c r="E20">
        <v>0.10730060199999999</v>
      </c>
      <c r="F20">
        <v>8.6519169000000007E-2</v>
      </c>
      <c r="G20">
        <v>0.37827609699999998</v>
      </c>
      <c r="H20">
        <v>0.42302572199999999</v>
      </c>
      <c r="I20">
        <v>0.35566602400000003</v>
      </c>
    </row>
    <row r="21" spans="1:9" x14ac:dyDescent="0.4">
      <c r="A21">
        <f t="shared" si="0"/>
        <v>85</v>
      </c>
      <c r="B21" t="s">
        <v>41</v>
      </c>
      <c r="C21" t="s">
        <v>24</v>
      </c>
      <c r="D21">
        <v>0.18950083400000001</v>
      </c>
      <c r="E21">
        <v>0.20611549600000001</v>
      </c>
      <c r="F21">
        <v>0.18303269699999999</v>
      </c>
      <c r="G21">
        <v>1</v>
      </c>
      <c r="H21">
        <v>1</v>
      </c>
      <c r="I21">
        <v>1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3D57-DBD6-4458-8842-68F7ECD49CD9}">
  <dimension ref="A1:I21"/>
  <sheetViews>
    <sheetView workbookViewId="0">
      <selection activeCell="A2" sqref="A2:B21"/>
    </sheetView>
  </sheetViews>
  <sheetFormatPr defaultRowHeight="14.6" x14ac:dyDescent="0.4"/>
  <sheetData>
    <row r="1" spans="1:9" x14ac:dyDescent="0.4">
      <c r="B1" t="s">
        <v>33</v>
      </c>
      <c r="C1">
        <v>2019</v>
      </c>
      <c r="D1" s="9" t="s">
        <v>37</v>
      </c>
      <c r="E1" s="9"/>
      <c r="F1" s="9"/>
      <c r="G1" s="9" t="s">
        <v>38</v>
      </c>
      <c r="H1" s="9"/>
      <c r="I1" s="9"/>
    </row>
    <row r="2" spans="1:9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6</v>
      </c>
      <c r="D3">
        <v>6.3615499999999997E-3</v>
      </c>
      <c r="E3">
        <v>6.8726009999999999E-3</v>
      </c>
      <c r="F3">
        <v>5.830277E-3</v>
      </c>
      <c r="G3">
        <v>6.3253349999999996E-3</v>
      </c>
      <c r="H3">
        <v>6.8303529999999999E-3</v>
      </c>
      <c r="I3">
        <v>5.7998440000000002E-3</v>
      </c>
    </row>
    <row r="4" spans="1:9" x14ac:dyDescent="0.4">
      <c r="A4">
        <v>1</v>
      </c>
      <c r="B4">
        <v>4</v>
      </c>
      <c r="C4" t="s">
        <v>7</v>
      </c>
      <c r="D4">
        <v>2.50747E-4</v>
      </c>
      <c r="E4">
        <v>2.7159299999999999E-4</v>
      </c>
      <c r="F4">
        <v>2.2912400000000001E-4</v>
      </c>
      <c r="G4">
        <v>1.002385E-3</v>
      </c>
      <c r="H4">
        <v>1.0856629999999999E-3</v>
      </c>
      <c r="I4">
        <v>9.1599200000000002E-4</v>
      </c>
    </row>
    <row r="5" spans="1:9" x14ac:dyDescent="0.4">
      <c r="A5">
        <v>5</v>
      </c>
      <c r="B5">
        <v>5</v>
      </c>
      <c r="C5" t="s">
        <v>8</v>
      </c>
      <c r="D5">
        <v>1.2511400000000001E-4</v>
      </c>
      <c r="E5">
        <v>1.35523E-4</v>
      </c>
      <c r="F5">
        <v>1.14332E-4</v>
      </c>
      <c r="G5">
        <v>6.2537499999999995E-4</v>
      </c>
      <c r="H5">
        <v>6.77387E-4</v>
      </c>
      <c r="I5">
        <v>5.7149499999999999E-4</v>
      </c>
    </row>
    <row r="6" spans="1:9" x14ac:dyDescent="0.4">
      <c r="A6">
        <f>A5+5</f>
        <v>10</v>
      </c>
      <c r="B6">
        <v>5</v>
      </c>
      <c r="C6" t="s">
        <v>9</v>
      </c>
      <c r="D6">
        <v>1.59149E-4</v>
      </c>
      <c r="E6">
        <v>1.7560199999999999E-4</v>
      </c>
      <c r="F6">
        <v>1.4211700000000001E-4</v>
      </c>
      <c r="G6">
        <v>7.9542999999999997E-4</v>
      </c>
      <c r="H6">
        <v>8.7762300000000001E-4</v>
      </c>
      <c r="I6">
        <v>7.1033200000000004E-4</v>
      </c>
    </row>
    <row r="7" spans="1:9" x14ac:dyDescent="0.4">
      <c r="A7">
        <f t="shared" ref="A7:A21" si="0">A6+5</f>
        <v>15</v>
      </c>
      <c r="B7">
        <v>5</v>
      </c>
      <c r="C7" t="s">
        <v>10</v>
      </c>
      <c r="D7">
        <v>4.0493499999999998E-4</v>
      </c>
      <c r="E7">
        <v>5.6688099999999998E-4</v>
      </c>
      <c r="F7">
        <v>2.37531E-4</v>
      </c>
      <c r="G7">
        <v>2.0226300000000001E-3</v>
      </c>
      <c r="H7">
        <v>2.8303930000000001E-3</v>
      </c>
      <c r="I7">
        <v>1.186948E-3</v>
      </c>
    </row>
    <row r="8" spans="1:9" x14ac:dyDescent="0.4">
      <c r="A8">
        <f t="shared" si="0"/>
        <v>20</v>
      </c>
      <c r="B8">
        <v>5</v>
      </c>
      <c r="C8" t="s">
        <v>11</v>
      </c>
      <c r="D8">
        <v>5.8850799999999996E-4</v>
      </c>
      <c r="E8">
        <v>8.7065199999999997E-4</v>
      </c>
      <c r="F8">
        <v>2.9751400000000002E-4</v>
      </c>
      <c r="G8">
        <v>2.938216E-3</v>
      </c>
      <c r="H8">
        <v>4.3438069999999999E-3</v>
      </c>
      <c r="I8">
        <v>1.4864640000000001E-3</v>
      </c>
    </row>
    <row r="9" spans="1:9" x14ac:dyDescent="0.4">
      <c r="A9">
        <f t="shared" si="0"/>
        <v>25</v>
      </c>
      <c r="B9">
        <v>5</v>
      </c>
      <c r="C9" t="s">
        <v>12</v>
      </c>
      <c r="D9">
        <v>7.0136799999999996E-4</v>
      </c>
      <c r="E9">
        <v>1.0380299999999999E-3</v>
      </c>
      <c r="F9">
        <v>3.5399800000000001E-4</v>
      </c>
      <c r="G9">
        <v>3.500703E-3</v>
      </c>
      <c r="H9">
        <v>5.176717E-3</v>
      </c>
      <c r="I9">
        <v>1.768424E-3</v>
      </c>
    </row>
    <row r="10" spans="1:9" x14ac:dyDescent="0.4">
      <c r="A10">
        <f t="shared" si="0"/>
        <v>30</v>
      </c>
      <c r="B10">
        <v>5</v>
      </c>
      <c r="C10" t="s">
        <v>13</v>
      </c>
      <c r="D10">
        <v>7.9811499999999996E-4</v>
      </c>
      <c r="E10">
        <v>1.149274E-3</v>
      </c>
      <c r="F10">
        <v>4.3655499999999998E-4</v>
      </c>
      <c r="G10">
        <v>3.98263E-3</v>
      </c>
      <c r="H10">
        <v>5.729909E-3</v>
      </c>
      <c r="I10">
        <v>2.1803930000000001E-3</v>
      </c>
    </row>
    <row r="11" spans="1:9" x14ac:dyDescent="0.4">
      <c r="A11">
        <f t="shared" si="0"/>
        <v>35</v>
      </c>
      <c r="B11">
        <v>5</v>
      </c>
      <c r="C11" t="s">
        <v>14</v>
      </c>
      <c r="D11">
        <v>1.0059139999999999E-3</v>
      </c>
      <c r="E11">
        <v>1.3799389999999999E-3</v>
      </c>
      <c r="F11">
        <v>6.2553200000000004E-4</v>
      </c>
      <c r="G11">
        <v>5.0169539999999997E-3</v>
      </c>
      <c r="H11">
        <v>6.8759759999999998E-3</v>
      </c>
      <c r="I11">
        <v>3.1227759999999999E-3</v>
      </c>
    </row>
    <row r="12" spans="1:9" x14ac:dyDescent="0.4">
      <c r="A12">
        <f t="shared" si="0"/>
        <v>40</v>
      </c>
      <c r="B12">
        <v>5</v>
      </c>
      <c r="C12" t="s">
        <v>15</v>
      </c>
      <c r="D12">
        <v>1.4987220000000001E-3</v>
      </c>
      <c r="E12">
        <v>1.98562E-3</v>
      </c>
      <c r="F12">
        <v>1.012059E-3</v>
      </c>
      <c r="G12">
        <v>7.465635E-3</v>
      </c>
      <c r="H12">
        <v>9.8790600000000003E-3</v>
      </c>
      <c r="I12">
        <v>5.0475229999999999E-3</v>
      </c>
    </row>
    <row r="13" spans="1:9" x14ac:dyDescent="0.4">
      <c r="A13">
        <f t="shared" si="0"/>
        <v>45</v>
      </c>
      <c r="B13">
        <v>5</v>
      </c>
      <c r="C13" t="s">
        <v>16</v>
      </c>
      <c r="D13">
        <v>2.1703030000000002E-3</v>
      </c>
      <c r="E13">
        <v>2.8349650000000001E-3</v>
      </c>
      <c r="F13">
        <v>1.5192000000000001E-3</v>
      </c>
      <c r="G13">
        <v>1.0792955999999999E-2</v>
      </c>
      <c r="H13">
        <v>1.4075068E-2</v>
      </c>
      <c r="I13">
        <v>7.5672600000000001E-3</v>
      </c>
    </row>
    <row r="14" spans="1:9" x14ac:dyDescent="0.4">
      <c r="A14">
        <f t="shared" si="0"/>
        <v>50</v>
      </c>
      <c r="B14">
        <v>5</v>
      </c>
      <c r="C14" t="s">
        <v>17</v>
      </c>
      <c r="D14">
        <v>3.4901989999999998E-3</v>
      </c>
      <c r="E14">
        <v>4.6065350000000001E-3</v>
      </c>
      <c r="F14">
        <v>2.4192480000000001E-3</v>
      </c>
      <c r="G14">
        <v>1.7300044000000001E-2</v>
      </c>
      <c r="H14">
        <v>2.2770441999999998E-2</v>
      </c>
      <c r="I14">
        <v>1.2023519E-2</v>
      </c>
    </row>
    <row r="15" spans="1:9" x14ac:dyDescent="0.4">
      <c r="A15">
        <f t="shared" si="0"/>
        <v>55</v>
      </c>
      <c r="B15">
        <v>5</v>
      </c>
      <c r="C15" t="s">
        <v>18</v>
      </c>
      <c r="D15">
        <v>5.355627E-3</v>
      </c>
      <c r="E15">
        <v>6.8556470000000003E-3</v>
      </c>
      <c r="F15">
        <v>3.9522469999999999E-3</v>
      </c>
      <c r="G15">
        <v>2.6424336E-2</v>
      </c>
      <c r="H15">
        <v>3.3700636999999999E-2</v>
      </c>
      <c r="I15">
        <v>1.9567894999999998E-2</v>
      </c>
    </row>
    <row r="16" spans="1:9" x14ac:dyDescent="0.4">
      <c r="A16">
        <f t="shared" si="0"/>
        <v>60</v>
      </c>
      <c r="B16">
        <v>5</v>
      </c>
      <c r="C16" t="s">
        <v>19</v>
      </c>
      <c r="D16">
        <v>7.5166399999999998E-3</v>
      </c>
      <c r="E16">
        <v>9.6921100000000003E-3</v>
      </c>
      <c r="F16">
        <v>5.5471649999999997E-3</v>
      </c>
      <c r="G16">
        <v>3.6889976999999997E-2</v>
      </c>
      <c r="H16">
        <v>4.7314114999999997E-2</v>
      </c>
      <c r="I16">
        <v>2.7356449000000001E-2</v>
      </c>
    </row>
    <row r="17" spans="1:9" x14ac:dyDescent="0.4">
      <c r="A17">
        <f t="shared" si="0"/>
        <v>65</v>
      </c>
      <c r="B17">
        <v>5</v>
      </c>
      <c r="C17" t="s">
        <v>20</v>
      </c>
      <c r="D17">
        <v>1.1880926E-2</v>
      </c>
      <c r="E17">
        <v>1.5110353E-2</v>
      </c>
      <c r="F17">
        <v>9.0757010000000003E-3</v>
      </c>
      <c r="G17">
        <v>5.7691074000000002E-2</v>
      </c>
      <c r="H17">
        <v>7.2801619999999997E-2</v>
      </c>
      <c r="I17">
        <v>4.4371743999999998E-2</v>
      </c>
    </row>
    <row r="18" spans="1:9" x14ac:dyDescent="0.4">
      <c r="A18">
        <f t="shared" si="0"/>
        <v>70</v>
      </c>
      <c r="B18">
        <v>5</v>
      </c>
      <c r="C18" t="s">
        <v>21</v>
      </c>
      <c r="D18">
        <v>2.1878472999999999E-2</v>
      </c>
      <c r="E18">
        <v>2.8145718E-2</v>
      </c>
      <c r="F18">
        <v>1.6715577999999998E-2</v>
      </c>
      <c r="G18">
        <v>0.10371931199999999</v>
      </c>
      <c r="H18">
        <v>0.131477281</v>
      </c>
      <c r="I18">
        <v>8.0225355999999998E-2</v>
      </c>
    </row>
    <row r="19" spans="1:9" x14ac:dyDescent="0.4">
      <c r="A19">
        <f t="shared" si="0"/>
        <v>75</v>
      </c>
      <c r="B19">
        <v>5</v>
      </c>
      <c r="C19" t="s">
        <v>22</v>
      </c>
      <c r="D19">
        <v>3.3257847E-2</v>
      </c>
      <c r="E19">
        <v>4.3462187999999999E-2</v>
      </c>
      <c r="F19">
        <v>2.5725398E-2</v>
      </c>
      <c r="G19">
        <v>0.15352449900000001</v>
      </c>
      <c r="H19">
        <v>0.19601305199999999</v>
      </c>
      <c r="I19">
        <v>0.120854422</v>
      </c>
    </row>
    <row r="20" spans="1:9" x14ac:dyDescent="0.4">
      <c r="A20">
        <f t="shared" si="0"/>
        <v>80</v>
      </c>
      <c r="B20">
        <v>5</v>
      </c>
      <c r="C20" t="s">
        <v>23</v>
      </c>
      <c r="D20">
        <v>5.4882533999999997E-2</v>
      </c>
      <c r="E20">
        <v>7.0531838999999999E-2</v>
      </c>
      <c r="F20">
        <v>4.4864697000000002E-2</v>
      </c>
      <c r="G20">
        <v>0.24130420499999999</v>
      </c>
      <c r="H20">
        <v>0.29979624300000002</v>
      </c>
      <c r="I20">
        <v>0.20170041599999999</v>
      </c>
    </row>
    <row r="21" spans="1:9" x14ac:dyDescent="0.4">
      <c r="A21">
        <f t="shared" si="0"/>
        <v>85</v>
      </c>
      <c r="B21" t="s">
        <v>41</v>
      </c>
      <c r="C21" t="s">
        <v>24</v>
      </c>
      <c r="D21">
        <v>0.12146533499999999</v>
      </c>
      <c r="E21">
        <v>0.138284885</v>
      </c>
      <c r="F21">
        <v>0.113082086</v>
      </c>
      <c r="G21">
        <v>1</v>
      </c>
      <c r="H21">
        <v>1</v>
      </c>
      <c r="I21">
        <v>1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B212-3E96-4653-9B10-95086021FFBD}">
  <dimension ref="A1:I21"/>
  <sheetViews>
    <sheetView workbookViewId="0">
      <selection activeCell="A2" sqref="A2:B21"/>
    </sheetView>
  </sheetViews>
  <sheetFormatPr defaultRowHeight="14.6" x14ac:dyDescent="0.4"/>
  <sheetData>
    <row r="1" spans="1:9" x14ac:dyDescent="0.4">
      <c r="B1" t="s">
        <v>34</v>
      </c>
      <c r="C1">
        <v>2019</v>
      </c>
      <c r="D1" s="9" t="s">
        <v>37</v>
      </c>
      <c r="E1" s="9"/>
      <c r="F1" s="9"/>
      <c r="G1" s="9" t="s">
        <v>38</v>
      </c>
      <c r="H1" s="9"/>
      <c r="I1" s="9"/>
    </row>
    <row r="2" spans="1:9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6</v>
      </c>
      <c r="D3">
        <v>2.8649956000000001E-2</v>
      </c>
      <c r="E3">
        <v>3.1088138000000001E-2</v>
      </c>
      <c r="F3">
        <v>2.6146184999999999E-2</v>
      </c>
      <c r="G3">
        <v>2.8086678E-2</v>
      </c>
      <c r="H3">
        <v>3.0426016E-2</v>
      </c>
      <c r="I3">
        <v>2.5676250000000001E-2</v>
      </c>
    </row>
    <row r="4" spans="1:9" x14ac:dyDescent="0.4">
      <c r="A4">
        <v>1</v>
      </c>
      <c r="B4">
        <v>4</v>
      </c>
      <c r="C4" t="s">
        <v>7</v>
      </c>
      <c r="D4">
        <v>1.7781209999999999E-3</v>
      </c>
      <c r="E4">
        <v>1.936983E-3</v>
      </c>
      <c r="F4">
        <v>1.6152180000000001E-3</v>
      </c>
      <c r="G4">
        <v>7.0822599999999999E-3</v>
      </c>
      <c r="H4">
        <v>7.7120790000000002E-3</v>
      </c>
      <c r="I4">
        <v>6.4359220000000002E-3</v>
      </c>
    </row>
    <row r="5" spans="1:9" x14ac:dyDescent="0.4">
      <c r="A5">
        <v>5</v>
      </c>
      <c r="B5">
        <v>5</v>
      </c>
      <c r="C5" t="s">
        <v>8</v>
      </c>
      <c r="D5">
        <v>5.0385000000000002E-4</v>
      </c>
      <c r="E5">
        <v>5.4892199999999997E-4</v>
      </c>
      <c r="F5">
        <v>4.57737E-4</v>
      </c>
      <c r="G5">
        <v>2.5160820000000002E-3</v>
      </c>
      <c r="H5">
        <v>2.7408480000000002E-3</v>
      </c>
      <c r="I5">
        <v>2.286068E-3</v>
      </c>
    </row>
    <row r="6" spans="1:9" x14ac:dyDescent="0.4">
      <c r="A6">
        <f>A5+5</f>
        <v>10</v>
      </c>
      <c r="B6">
        <v>5</v>
      </c>
      <c r="C6" t="s">
        <v>9</v>
      </c>
      <c r="D6">
        <v>5.8983600000000005E-4</v>
      </c>
      <c r="E6">
        <v>6.6034199999999996E-4</v>
      </c>
      <c r="F6">
        <v>5.1798700000000003E-4</v>
      </c>
      <c r="G6">
        <v>2.9448349999999998E-3</v>
      </c>
      <c r="H6">
        <v>3.2962669999999999E-3</v>
      </c>
      <c r="I6">
        <v>2.5865839999999998E-3</v>
      </c>
    </row>
    <row r="7" spans="1:9" x14ac:dyDescent="0.4">
      <c r="A7">
        <f t="shared" ref="A7:A21" si="0">A6+5</f>
        <v>15</v>
      </c>
      <c r="B7">
        <v>5</v>
      </c>
      <c r="C7" t="s">
        <v>10</v>
      </c>
      <c r="D7">
        <v>1.4830220000000001E-3</v>
      </c>
      <c r="E7">
        <v>1.6168409999999999E-3</v>
      </c>
      <c r="F7">
        <v>1.3474719999999999E-3</v>
      </c>
      <c r="G7">
        <v>7.3877200000000004E-3</v>
      </c>
      <c r="H7">
        <v>8.0516609999999999E-3</v>
      </c>
      <c r="I7">
        <v>6.7147379999999996E-3</v>
      </c>
    </row>
    <row r="8" spans="1:9" x14ac:dyDescent="0.4">
      <c r="A8">
        <f t="shared" si="0"/>
        <v>20</v>
      </c>
      <c r="B8">
        <v>5</v>
      </c>
      <c r="C8" t="s">
        <v>11</v>
      </c>
      <c r="D8">
        <v>2.9023759999999999E-3</v>
      </c>
      <c r="E8">
        <v>3.1803539999999998E-3</v>
      </c>
      <c r="F8">
        <v>2.6206580000000001E-3</v>
      </c>
      <c r="G8">
        <v>1.4407339999999999E-2</v>
      </c>
      <c r="H8">
        <v>1.5776335999999998E-2</v>
      </c>
      <c r="I8">
        <v>1.3018001E-2</v>
      </c>
    </row>
    <row r="9" spans="1:9" x14ac:dyDescent="0.4">
      <c r="A9">
        <f t="shared" si="0"/>
        <v>25</v>
      </c>
      <c r="B9">
        <v>5</v>
      </c>
      <c r="C9" t="s">
        <v>12</v>
      </c>
      <c r="D9">
        <v>4.9252180000000003E-3</v>
      </c>
      <c r="E9">
        <v>5.3908209999999996E-3</v>
      </c>
      <c r="F9">
        <v>4.4518129999999998E-3</v>
      </c>
      <c r="G9">
        <v>2.4326558000000002E-2</v>
      </c>
      <c r="H9">
        <v>2.6595674999999999E-2</v>
      </c>
      <c r="I9">
        <v>2.2014059999999998E-2</v>
      </c>
    </row>
    <row r="10" spans="1:9" x14ac:dyDescent="0.4">
      <c r="A10">
        <f t="shared" si="0"/>
        <v>30</v>
      </c>
      <c r="B10">
        <v>5</v>
      </c>
      <c r="C10" t="s">
        <v>13</v>
      </c>
      <c r="D10">
        <v>7.2497009999999999E-3</v>
      </c>
      <c r="E10">
        <v>8.2118169999999997E-3</v>
      </c>
      <c r="F10">
        <v>6.2704320000000003E-3</v>
      </c>
      <c r="G10">
        <v>3.5603223000000003E-2</v>
      </c>
      <c r="H10">
        <v>4.0233115999999999E-2</v>
      </c>
      <c r="I10">
        <v>3.0868264999999999E-2</v>
      </c>
    </row>
    <row r="11" spans="1:9" x14ac:dyDescent="0.4">
      <c r="A11">
        <f t="shared" si="0"/>
        <v>35</v>
      </c>
      <c r="B11">
        <v>5</v>
      </c>
      <c r="C11" t="s">
        <v>14</v>
      </c>
      <c r="D11">
        <v>8.7845360000000008E-3</v>
      </c>
      <c r="E11">
        <v>1.0363961E-2</v>
      </c>
      <c r="F11">
        <v>7.1893649999999996E-3</v>
      </c>
      <c r="G11">
        <v>4.2978809999999999E-2</v>
      </c>
      <c r="H11">
        <v>5.0511068999999999E-2</v>
      </c>
      <c r="I11">
        <v>3.5312145000000003E-2</v>
      </c>
    </row>
    <row r="12" spans="1:9" x14ac:dyDescent="0.4">
      <c r="A12">
        <f t="shared" si="0"/>
        <v>40</v>
      </c>
      <c r="B12">
        <v>5</v>
      </c>
      <c r="C12" t="s">
        <v>15</v>
      </c>
      <c r="D12">
        <v>9.9886850000000006E-3</v>
      </c>
      <c r="E12">
        <v>1.2151659E-2</v>
      </c>
      <c r="F12">
        <v>7.8593489999999998E-3</v>
      </c>
      <c r="G12">
        <v>4.8726639000000002E-2</v>
      </c>
      <c r="H12">
        <v>5.8966929000000001E-2</v>
      </c>
      <c r="I12">
        <v>3.8539506000000001E-2</v>
      </c>
    </row>
    <row r="13" spans="1:9" x14ac:dyDescent="0.4">
      <c r="A13">
        <f t="shared" si="0"/>
        <v>45</v>
      </c>
      <c r="B13">
        <v>5</v>
      </c>
      <c r="C13" t="s">
        <v>16</v>
      </c>
      <c r="D13">
        <v>1.0822221999999999E-2</v>
      </c>
      <c r="E13">
        <v>1.3556969E-2</v>
      </c>
      <c r="F13">
        <v>8.2174880000000002E-3</v>
      </c>
      <c r="G13">
        <v>5.2685669999999997E-2</v>
      </c>
      <c r="H13">
        <v>6.5562765999999995E-2</v>
      </c>
      <c r="I13">
        <v>4.0260344000000003E-2</v>
      </c>
    </row>
    <row r="14" spans="1:9" x14ac:dyDescent="0.4">
      <c r="A14">
        <f t="shared" si="0"/>
        <v>50</v>
      </c>
      <c r="B14">
        <v>5</v>
      </c>
      <c r="C14" t="s">
        <v>17</v>
      </c>
      <c r="D14">
        <v>1.297353E-2</v>
      </c>
      <c r="E14">
        <v>1.6607838999999999E-2</v>
      </c>
      <c r="F14">
        <v>9.6282060000000003E-3</v>
      </c>
      <c r="G14">
        <v>6.2829836E-2</v>
      </c>
      <c r="H14">
        <v>7.9728884999999999E-2</v>
      </c>
      <c r="I14">
        <v>4.7009486000000003E-2</v>
      </c>
    </row>
    <row r="15" spans="1:9" x14ac:dyDescent="0.4">
      <c r="A15">
        <f t="shared" si="0"/>
        <v>55</v>
      </c>
      <c r="B15">
        <v>5</v>
      </c>
      <c r="C15" t="s">
        <v>18</v>
      </c>
      <c r="D15">
        <v>1.5430276E-2</v>
      </c>
      <c r="E15">
        <v>2.0014868000000002E-2</v>
      </c>
      <c r="F15">
        <v>1.14287E-2</v>
      </c>
      <c r="G15">
        <v>7.4285754999999995E-2</v>
      </c>
      <c r="H15">
        <v>9.5305521000000004E-2</v>
      </c>
      <c r="I15">
        <v>5.5556161E-2</v>
      </c>
    </row>
    <row r="16" spans="1:9" x14ac:dyDescent="0.4">
      <c r="A16">
        <f t="shared" si="0"/>
        <v>60</v>
      </c>
      <c r="B16">
        <v>5</v>
      </c>
      <c r="C16" t="s">
        <v>19</v>
      </c>
      <c r="D16">
        <v>2.0202741E-2</v>
      </c>
      <c r="E16">
        <v>2.6369244999999999E-2</v>
      </c>
      <c r="F16">
        <v>1.5198799000000001E-2</v>
      </c>
      <c r="G16">
        <v>9.6157112000000003E-2</v>
      </c>
      <c r="H16">
        <v>0.12369206200000001</v>
      </c>
      <c r="I16">
        <v>7.3212153000000002E-2</v>
      </c>
    </row>
    <row r="17" spans="1:9" x14ac:dyDescent="0.4">
      <c r="A17">
        <f t="shared" si="0"/>
        <v>65</v>
      </c>
      <c r="B17">
        <v>5</v>
      </c>
      <c r="C17" t="s">
        <v>20</v>
      </c>
      <c r="D17">
        <v>2.7588392E-2</v>
      </c>
      <c r="E17">
        <v>3.5424866999999999E-2</v>
      </c>
      <c r="F17">
        <v>2.1726037E-2</v>
      </c>
      <c r="G17">
        <v>0.12904182</v>
      </c>
      <c r="H17">
        <v>0.16271402700000001</v>
      </c>
      <c r="I17">
        <v>0.103033892</v>
      </c>
    </row>
    <row r="18" spans="1:9" x14ac:dyDescent="0.4">
      <c r="A18">
        <f t="shared" si="0"/>
        <v>70</v>
      </c>
      <c r="B18">
        <v>5</v>
      </c>
      <c r="C18" t="s">
        <v>21</v>
      </c>
      <c r="D18">
        <v>3.6296851999999998E-2</v>
      </c>
      <c r="E18">
        <v>4.5114769999999998E-2</v>
      </c>
      <c r="F18">
        <v>3.0352836000000001E-2</v>
      </c>
      <c r="G18">
        <v>0.16638603599999999</v>
      </c>
      <c r="H18">
        <v>0.20271072800000001</v>
      </c>
      <c r="I18">
        <v>0.14106023300000001</v>
      </c>
    </row>
    <row r="19" spans="1:9" x14ac:dyDescent="0.4">
      <c r="A19">
        <f t="shared" si="0"/>
        <v>75</v>
      </c>
      <c r="B19">
        <v>5</v>
      </c>
      <c r="C19" t="s">
        <v>22</v>
      </c>
      <c r="D19">
        <v>5.1467613000000002E-2</v>
      </c>
      <c r="E19">
        <v>6.3585644999999996E-2</v>
      </c>
      <c r="F19">
        <v>4.4348931000000001E-2</v>
      </c>
      <c r="G19">
        <v>0.22800135299999999</v>
      </c>
      <c r="H19">
        <v>0.27432102800000002</v>
      </c>
      <c r="I19">
        <v>0.199613086</v>
      </c>
    </row>
    <row r="20" spans="1:9" x14ac:dyDescent="0.4">
      <c r="A20">
        <f t="shared" si="0"/>
        <v>80</v>
      </c>
      <c r="B20">
        <v>5</v>
      </c>
      <c r="C20" t="s">
        <v>23</v>
      </c>
      <c r="D20">
        <v>9.3302219000000006E-2</v>
      </c>
      <c r="E20">
        <v>0.10730060199999999</v>
      </c>
      <c r="F20">
        <v>8.6519169000000007E-2</v>
      </c>
      <c r="G20">
        <v>0.37827609699999998</v>
      </c>
      <c r="H20">
        <v>0.42302572199999999</v>
      </c>
      <c r="I20">
        <v>0.35566602400000003</v>
      </c>
    </row>
    <row r="21" spans="1:9" x14ac:dyDescent="0.4">
      <c r="A21">
        <f t="shared" si="0"/>
        <v>85</v>
      </c>
      <c r="B21" t="s">
        <v>41</v>
      </c>
      <c r="C21" t="s">
        <v>24</v>
      </c>
      <c r="D21">
        <v>0.18950083400000001</v>
      </c>
      <c r="E21">
        <v>0.20611549600000001</v>
      </c>
      <c r="F21">
        <v>0.18303269699999999</v>
      </c>
      <c r="G21">
        <v>1</v>
      </c>
      <c r="H21">
        <v>1</v>
      </c>
      <c r="I21">
        <v>1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A80D-C542-4BBC-914B-BFA75D0EED51}">
  <dimension ref="A1:I21"/>
  <sheetViews>
    <sheetView workbookViewId="0">
      <selection activeCell="I26" sqref="I26"/>
    </sheetView>
  </sheetViews>
  <sheetFormatPr defaultRowHeight="14.6" x14ac:dyDescent="0.4"/>
  <sheetData>
    <row r="1" spans="1:9" x14ac:dyDescent="0.4">
      <c r="B1" t="s">
        <v>35</v>
      </c>
      <c r="C1">
        <v>2019</v>
      </c>
      <c r="D1" s="9" t="s">
        <v>37</v>
      </c>
      <c r="E1" s="9"/>
      <c r="F1" s="9"/>
      <c r="G1" s="9" t="s">
        <v>38</v>
      </c>
      <c r="H1" s="9"/>
      <c r="I1" s="9"/>
    </row>
    <row r="2" spans="1:9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6</v>
      </c>
      <c r="D3">
        <v>1.2431416000000001E-2</v>
      </c>
      <c r="E3">
        <v>1.3869970000000001E-2</v>
      </c>
      <c r="F3">
        <v>1.0925167E-2</v>
      </c>
      <c r="G3">
        <v>1.2293869000000001E-2</v>
      </c>
      <c r="H3">
        <v>1.3698966E-2</v>
      </c>
      <c r="I3">
        <v>1.081879E-2</v>
      </c>
    </row>
    <row r="4" spans="1:9" x14ac:dyDescent="0.4">
      <c r="A4">
        <v>1</v>
      </c>
      <c r="B4">
        <v>4</v>
      </c>
      <c r="C4" t="s">
        <v>7</v>
      </c>
      <c r="D4">
        <v>3.7899800000000002E-4</v>
      </c>
      <c r="E4">
        <v>4.1623799999999998E-4</v>
      </c>
      <c r="F4">
        <v>3.3999600000000002E-4</v>
      </c>
      <c r="G4">
        <v>1.5146140000000001E-3</v>
      </c>
      <c r="H4">
        <v>1.663288E-3</v>
      </c>
      <c r="I4">
        <v>1.3588750000000001E-3</v>
      </c>
    </row>
    <row r="5" spans="1:9" x14ac:dyDescent="0.4">
      <c r="A5">
        <v>5</v>
      </c>
      <c r="B5">
        <v>5</v>
      </c>
      <c r="C5" t="s">
        <v>8</v>
      </c>
      <c r="D5">
        <v>1.9527699999999999E-4</v>
      </c>
      <c r="E5">
        <v>2.1448600000000001E-4</v>
      </c>
      <c r="F5">
        <v>1.7519899999999999E-4</v>
      </c>
      <c r="G5">
        <v>9.7590800000000005E-4</v>
      </c>
      <c r="H5">
        <v>1.071855E-3</v>
      </c>
      <c r="I5">
        <v>8.7561099999999999E-4</v>
      </c>
    </row>
    <row r="6" spans="1:9" x14ac:dyDescent="0.4">
      <c r="A6">
        <f>A5+5</f>
        <v>10</v>
      </c>
      <c r="B6">
        <v>5</v>
      </c>
      <c r="C6" t="s">
        <v>9</v>
      </c>
      <c r="D6">
        <v>2.7711599999999999E-4</v>
      </c>
      <c r="E6">
        <v>3.3757900000000001E-4</v>
      </c>
      <c r="F6">
        <v>2.14188E-4</v>
      </c>
      <c r="G6">
        <v>1.3846209999999999E-3</v>
      </c>
      <c r="H6">
        <v>1.6864720000000001E-3</v>
      </c>
      <c r="I6">
        <v>1.070367E-3</v>
      </c>
    </row>
    <row r="7" spans="1:9" x14ac:dyDescent="0.4">
      <c r="A7">
        <f t="shared" ref="A7:A21" si="0">A6+5</f>
        <v>15</v>
      </c>
      <c r="B7">
        <v>5</v>
      </c>
      <c r="C7" t="s">
        <v>10</v>
      </c>
      <c r="D7">
        <v>1.2709279999999999E-3</v>
      </c>
      <c r="E7">
        <v>2.0910030000000001E-3</v>
      </c>
      <c r="F7">
        <v>4.2191199999999998E-4</v>
      </c>
      <c r="G7">
        <v>6.3345149999999998E-3</v>
      </c>
      <c r="H7">
        <v>1.0400645E-2</v>
      </c>
      <c r="I7">
        <v>2.1073390000000002E-3</v>
      </c>
    </row>
    <row r="8" spans="1:9" x14ac:dyDescent="0.4">
      <c r="A8">
        <f t="shared" si="0"/>
        <v>20</v>
      </c>
      <c r="B8">
        <v>5</v>
      </c>
      <c r="C8" t="s">
        <v>11</v>
      </c>
      <c r="D8">
        <v>1.6812439999999999E-3</v>
      </c>
      <c r="E8">
        <v>2.8054970000000001E-3</v>
      </c>
      <c r="F8">
        <v>5.2824700000000003E-4</v>
      </c>
      <c r="G8">
        <v>8.3710329999999999E-3</v>
      </c>
      <c r="H8">
        <v>1.3929786E-2</v>
      </c>
      <c r="I8">
        <v>2.637749E-3</v>
      </c>
    </row>
    <row r="9" spans="1:9" x14ac:dyDescent="0.4">
      <c r="A9">
        <f t="shared" si="0"/>
        <v>25</v>
      </c>
      <c r="B9">
        <v>5</v>
      </c>
      <c r="C9" t="s">
        <v>12</v>
      </c>
      <c r="D9">
        <v>1.543141E-3</v>
      </c>
      <c r="E9">
        <v>2.4643849999999999E-3</v>
      </c>
      <c r="F9">
        <v>6.0992700000000002E-4</v>
      </c>
      <c r="G9">
        <v>7.6860540000000003E-3</v>
      </c>
      <c r="H9">
        <v>1.2246475999999999E-2</v>
      </c>
      <c r="I9">
        <v>3.0449940000000001E-3</v>
      </c>
    </row>
    <row r="10" spans="1:9" x14ac:dyDescent="0.4">
      <c r="A10">
        <f t="shared" si="0"/>
        <v>30</v>
      </c>
      <c r="B10">
        <v>5</v>
      </c>
      <c r="C10" t="s">
        <v>13</v>
      </c>
      <c r="D10">
        <v>1.5899919999999999E-3</v>
      </c>
      <c r="E10">
        <v>2.3715289999999998E-3</v>
      </c>
      <c r="F10">
        <v>8.0993600000000003E-4</v>
      </c>
      <c r="G10">
        <v>7.9184830000000005E-3</v>
      </c>
      <c r="H10">
        <v>1.1787756E-2</v>
      </c>
      <c r="I10">
        <v>4.0414980000000001E-3</v>
      </c>
    </row>
    <row r="11" spans="1:9" x14ac:dyDescent="0.4">
      <c r="A11">
        <f t="shared" si="0"/>
        <v>35</v>
      </c>
      <c r="B11">
        <v>5</v>
      </c>
      <c r="C11" t="s">
        <v>14</v>
      </c>
      <c r="D11">
        <v>2.0206460000000001E-3</v>
      </c>
      <c r="E11">
        <v>2.7931309999999999E-3</v>
      </c>
      <c r="F11">
        <v>1.2615440000000001E-3</v>
      </c>
      <c r="G11">
        <v>1.0052449999999999E-2</v>
      </c>
      <c r="H11">
        <v>1.3868810000000001E-2</v>
      </c>
      <c r="I11">
        <v>6.2878910000000003E-3</v>
      </c>
    </row>
    <row r="12" spans="1:9" x14ac:dyDescent="0.4">
      <c r="A12">
        <f t="shared" si="0"/>
        <v>40</v>
      </c>
      <c r="B12">
        <v>5</v>
      </c>
      <c r="C12" t="s">
        <v>15</v>
      </c>
      <c r="D12">
        <v>2.5918289999999999E-3</v>
      </c>
      <c r="E12">
        <v>3.4595870000000001E-3</v>
      </c>
      <c r="F12">
        <v>1.7527759999999999E-3</v>
      </c>
      <c r="G12">
        <v>1.2875714E-2</v>
      </c>
      <c r="H12">
        <v>1.7149607000000001E-2</v>
      </c>
      <c r="I12">
        <v>8.7256450000000006E-3</v>
      </c>
    </row>
    <row r="13" spans="1:9" x14ac:dyDescent="0.4">
      <c r="A13">
        <f t="shared" si="0"/>
        <v>45</v>
      </c>
      <c r="B13">
        <v>5</v>
      </c>
      <c r="C13" t="s">
        <v>16</v>
      </c>
      <c r="D13">
        <v>3.670834E-3</v>
      </c>
      <c r="E13">
        <v>4.8541729999999998E-3</v>
      </c>
      <c r="F13">
        <v>2.5494099999999998E-3</v>
      </c>
      <c r="G13">
        <v>1.8187262999999999E-2</v>
      </c>
      <c r="H13">
        <v>2.3979859999999999E-2</v>
      </c>
      <c r="I13">
        <v>1.2666320999999999E-2</v>
      </c>
    </row>
    <row r="14" spans="1:9" x14ac:dyDescent="0.4">
      <c r="A14">
        <f t="shared" si="0"/>
        <v>50</v>
      </c>
      <c r="B14">
        <v>5</v>
      </c>
      <c r="C14" t="s">
        <v>17</v>
      </c>
      <c r="D14">
        <v>5.2966030000000004E-3</v>
      </c>
      <c r="E14">
        <v>6.9313409999999997E-3</v>
      </c>
      <c r="F14">
        <v>3.782241E-3</v>
      </c>
      <c r="G14">
        <v>2.6136921E-2</v>
      </c>
      <c r="H14">
        <v>3.4066388000000003E-2</v>
      </c>
      <c r="I14">
        <v>1.8734064000000002E-2</v>
      </c>
    </row>
    <row r="15" spans="1:9" x14ac:dyDescent="0.4">
      <c r="A15">
        <f t="shared" si="0"/>
        <v>55</v>
      </c>
      <c r="B15">
        <v>5</v>
      </c>
      <c r="C15" t="s">
        <v>18</v>
      </c>
      <c r="D15">
        <v>7.9337739999999993E-3</v>
      </c>
      <c r="E15">
        <v>1.0346113000000001E-2</v>
      </c>
      <c r="F15">
        <v>5.7532599999999996E-3</v>
      </c>
      <c r="G15">
        <v>3.8897362999999997E-2</v>
      </c>
      <c r="H15">
        <v>5.0426275E-2</v>
      </c>
      <c r="I15">
        <v>2.8358418999999999E-2</v>
      </c>
    </row>
    <row r="16" spans="1:9" x14ac:dyDescent="0.4">
      <c r="A16">
        <f t="shared" si="0"/>
        <v>60</v>
      </c>
      <c r="B16">
        <v>5</v>
      </c>
      <c r="C16" t="s">
        <v>19</v>
      </c>
      <c r="D16">
        <v>1.1980012E-2</v>
      </c>
      <c r="E16">
        <v>1.5575075000000001E-2</v>
      </c>
      <c r="F16">
        <v>8.8301990000000004E-3</v>
      </c>
      <c r="G16">
        <v>5.8158221000000003E-2</v>
      </c>
      <c r="H16">
        <v>7.4956730999999999E-2</v>
      </c>
      <c r="I16">
        <v>4.3197390000000002E-2</v>
      </c>
    </row>
    <row r="17" spans="1:9" x14ac:dyDescent="0.4">
      <c r="A17">
        <f t="shared" si="0"/>
        <v>65</v>
      </c>
      <c r="B17">
        <v>5</v>
      </c>
      <c r="C17" t="s">
        <v>20</v>
      </c>
      <c r="D17">
        <v>1.7832042999999999E-2</v>
      </c>
      <c r="E17">
        <v>2.3082524E-2</v>
      </c>
      <c r="F17">
        <v>1.3413955E-2</v>
      </c>
      <c r="G17">
        <v>8.5355077000000001E-2</v>
      </c>
      <c r="H17">
        <v>0.10911594199999999</v>
      </c>
      <c r="I17">
        <v>6.4893576999999994E-2</v>
      </c>
    </row>
    <row r="18" spans="1:9" x14ac:dyDescent="0.4">
      <c r="A18">
        <f t="shared" si="0"/>
        <v>70</v>
      </c>
      <c r="B18">
        <v>5</v>
      </c>
      <c r="C18" t="s">
        <v>21</v>
      </c>
      <c r="D18">
        <v>2.7676722000000001E-2</v>
      </c>
      <c r="E18">
        <v>3.5022610000000003E-2</v>
      </c>
      <c r="F18">
        <v>2.1835957999999999E-2</v>
      </c>
      <c r="G18">
        <v>0.129428236</v>
      </c>
      <c r="H18">
        <v>0.16101512400000001</v>
      </c>
      <c r="I18">
        <v>0.103528198</v>
      </c>
    </row>
    <row r="19" spans="1:9" x14ac:dyDescent="0.4">
      <c r="A19">
        <f t="shared" si="0"/>
        <v>75</v>
      </c>
      <c r="B19">
        <v>5</v>
      </c>
      <c r="C19" t="s">
        <v>22</v>
      </c>
      <c r="D19">
        <v>4.2341647000000003E-2</v>
      </c>
      <c r="E19">
        <v>5.1833697999999997E-2</v>
      </c>
      <c r="F19">
        <v>3.5360385000000001E-2</v>
      </c>
      <c r="G19">
        <v>0.19144318599999999</v>
      </c>
      <c r="H19">
        <v>0.22943706</v>
      </c>
      <c r="I19">
        <v>0.162441905</v>
      </c>
    </row>
    <row r="20" spans="1:9" x14ac:dyDescent="0.4">
      <c r="A20">
        <f t="shared" si="0"/>
        <v>80</v>
      </c>
      <c r="B20">
        <v>5</v>
      </c>
      <c r="C20" t="s">
        <v>23</v>
      </c>
      <c r="D20">
        <v>6.6461491999999997E-2</v>
      </c>
      <c r="E20">
        <v>8.0376842000000004E-2</v>
      </c>
      <c r="F20">
        <v>5.7251555000000003E-2</v>
      </c>
      <c r="G20">
        <v>0.284960251</v>
      </c>
      <c r="H20">
        <v>0.334640787</v>
      </c>
      <c r="I20">
        <v>0.25041601000000002</v>
      </c>
    </row>
    <row r="21" spans="1:9" x14ac:dyDescent="0.4">
      <c r="A21">
        <f t="shared" si="0"/>
        <v>85</v>
      </c>
      <c r="B21" t="s">
        <v>41</v>
      </c>
      <c r="C21" t="s">
        <v>24</v>
      </c>
      <c r="D21">
        <v>0.15531558200000001</v>
      </c>
      <c r="E21">
        <v>0.18041303</v>
      </c>
      <c r="F21">
        <v>0.14221595100000001</v>
      </c>
      <c r="G21">
        <v>1</v>
      </c>
      <c r="H21">
        <v>1</v>
      </c>
      <c r="I21">
        <v>1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5516-28F1-45E8-B5FC-DE6152CCFF52}">
  <dimension ref="A1:I21"/>
  <sheetViews>
    <sheetView workbookViewId="0">
      <selection activeCell="M12" sqref="M12"/>
    </sheetView>
  </sheetViews>
  <sheetFormatPr defaultRowHeight="14.6" x14ac:dyDescent="0.4"/>
  <sheetData>
    <row r="1" spans="1:9" x14ac:dyDescent="0.4">
      <c r="B1" t="s">
        <v>36</v>
      </c>
      <c r="C1">
        <v>2019</v>
      </c>
      <c r="D1" s="9" t="s">
        <v>37</v>
      </c>
      <c r="E1" s="9"/>
      <c r="F1" s="9"/>
      <c r="G1" s="9" t="s">
        <v>38</v>
      </c>
      <c r="H1" s="9"/>
      <c r="I1" s="9"/>
    </row>
    <row r="2" spans="1:9" x14ac:dyDescent="0.4">
      <c r="A2" t="s">
        <v>39</v>
      </c>
      <c r="B2" t="s">
        <v>40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6</v>
      </c>
      <c r="D3">
        <v>2.769812E-3</v>
      </c>
      <c r="E3">
        <v>2.9909630000000001E-3</v>
      </c>
      <c r="F3">
        <v>2.5351380000000001E-3</v>
      </c>
      <c r="G3">
        <v>2.7629249999999998E-3</v>
      </c>
      <c r="H3">
        <v>2.982934E-3</v>
      </c>
      <c r="I3">
        <v>2.5293659999999999E-3</v>
      </c>
    </row>
    <row r="4" spans="1:9" x14ac:dyDescent="0.4">
      <c r="A4">
        <v>1</v>
      </c>
      <c r="B4">
        <v>4</v>
      </c>
      <c r="C4" t="s">
        <v>7</v>
      </c>
      <c r="D4">
        <v>1.12952E-4</v>
      </c>
      <c r="E4">
        <v>1.20448E-4</v>
      </c>
      <c r="F4">
        <v>1.0499E-4</v>
      </c>
      <c r="G4">
        <v>4.5168699999999999E-4</v>
      </c>
      <c r="H4">
        <v>4.8165300000000002E-4</v>
      </c>
      <c r="I4">
        <v>4.1985299999999998E-4</v>
      </c>
    </row>
    <row r="5" spans="1:9" x14ac:dyDescent="0.4">
      <c r="A5">
        <v>5</v>
      </c>
      <c r="B5">
        <v>5</v>
      </c>
      <c r="C5" t="s">
        <v>8</v>
      </c>
      <c r="D5" s="1">
        <v>7.5199999999999998E-5</v>
      </c>
      <c r="E5" s="1">
        <v>8.0199999999999998E-5</v>
      </c>
      <c r="F5" s="1">
        <v>6.9900000000000005E-5</v>
      </c>
      <c r="G5">
        <v>3.7612000000000002E-4</v>
      </c>
      <c r="H5">
        <v>4.0109899999999998E-4</v>
      </c>
      <c r="I5">
        <v>3.4963099999999999E-4</v>
      </c>
    </row>
    <row r="6" spans="1:9" x14ac:dyDescent="0.4">
      <c r="A6">
        <f>A5+5</f>
        <v>10</v>
      </c>
      <c r="B6">
        <v>5</v>
      </c>
      <c r="C6" t="s">
        <v>9</v>
      </c>
      <c r="D6" s="1">
        <v>9.6500000000000001E-5</v>
      </c>
      <c r="E6">
        <v>1.15011E-4</v>
      </c>
      <c r="F6" s="1">
        <v>7.6899999999999999E-5</v>
      </c>
      <c r="G6">
        <v>4.82406E-4</v>
      </c>
      <c r="H6">
        <v>5.7489100000000001E-4</v>
      </c>
      <c r="I6">
        <v>3.8431199999999999E-4</v>
      </c>
    </row>
    <row r="7" spans="1:9" x14ac:dyDescent="0.4">
      <c r="A7">
        <f t="shared" ref="A7:A21" si="0">A6+5</f>
        <v>15</v>
      </c>
      <c r="B7">
        <v>5</v>
      </c>
      <c r="C7" t="s">
        <v>10</v>
      </c>
      <c r="D7">
        <v>1.7698400000000001E-4</v>
      </c>
      <c r="E7">
        <v>2.4807099999999999E-4</v>
      </c>
      <c r="F7">
        <v>1.00906E-4</v>
      </c>
      <c r="G7">
        <v>8.84529E-4</v>
      </c>
      <c r="H7">
        <v>1.2395869999999999E-3</v>
      </c>
      <c r="I7">
        <v>5.0440299999999995E-4</v>
      </c>
    </row>
    <row r="8" spans="1:9" x14ac:dyDescent="0.4">
      <c r="A8">
        <f t="shared" si="0"/>
        <v>20</v>
      </c>
      <c r="B8">
        <v>5</v>
      </c>
      <c r="C8" t="s">
        <v>11</v>
      </c>
      <c r="D8">
        <v>2.6191099999999998E-4</v>
      </c>
      <c r="E8">
        <v>3.59093E-4</v>
      </c>
      <c r="F8">
        <v>1.57128E-4</v>
      </c>
      <c r="G8">
        <v>1.3086969999999999E-3</v>
      </c>
      <c r="H8">
        <v>1.7938540000000001E-3</v>
      </c>
      <c r="I8">
        <v>7.8533100000000001E-4</v>
      </c>
    </row>
    <row r="9" spans="1:9" x14ac:dyDescent="0.4">
      <c r="A9">
        <f t="shared" si="0"/>
        <v>25</v>
      </c>
      <c r="B9">
        <v>5</v>
      </c>
      <c r="C9" t="s">
        <v>12</v>
      </c>
      <c r="D9">
        <v>2.8153800000000001E-4</v>
      </c>
      <c r="E9">
        <v>3.7891999999999998E-4</v>
      </c>
      <c r="F9">
        <v>1.7902900000000001E-4</v>
      </c>
      <c r="G9">
        <v>1.406699E-3</v>
      </c>
      <c r="H9">
        <v>1.892807E-3</v>
      </c>
      <c r="I9">
        <v>8.9474499999999996E-4</v>
      </c>
    </row>
    <row r="10" spans="1:9" x14ac:dyDescent="0.4">
      <c r="A10">
        <f t="shared" si="0"/>
        <v>30</v>
      </c>
      <c r="B10">
        <v>5</v>
      </c>
      <c r="C10" t="s">
        <v>13</v>
      </c>
      <c r="D10">
        <v>3.3871599999999997E-4</v>
      </c>
      <c r="E10">
        <v>4.5532400000000001E-4</v>
      </c>
      <c r="F10">
        <v>2.1978199999999999E-4</v>
      </c>
      <c r="G10">
        <v>1.6921460000000001E-3</v>
      </c>
      <c r="H10">
        <v>2.2740299999999998E-3</v>
      </c>
      <c r="I10">
        <v>1.0983049999999999E-3</v>
      </c>
    </row>
    <row r="11" spans="1:9" x14ac:dyDescent="0.4">
      <c r="A11">
        <f t="shared" si="0"/>
        <v>35</v>
      </c>
      <c r="B11">
        <v>5</v>
      </c>
      <c r="C11" t="s">
        <v>14</v>
      </c>
      <c r="D11">
        <v>5.2379499999999997E-4</v>
      </c>
      <c r="E11">
        <v>6.3677500000000001E-4</v>
      </c>
      <c r="F11">
        <v>4.1010599999999998E-4</v>
      </c>
      <c r="G11">
        <v>2.6155520000000002E-3</v>
      </c>
      <c r="H11">
        <v>3.178812E-3</v>
      </c>
      <c r="I11">
        <v>2.0484269999999998E-3</v>
      </c>
    </row>
    <row r="12" spans="1:9" x14ac:dyDescent="0.4">
      <c r="A12">
        <f t="shared" si="0"/>
        <v>40</v>
      </c>
      <c r="B12">
        <v>5</v>
      </c>
      <c r="C12" t="s">
        <v>15</v>
      </c>
      <c r="D12">
        <v>8.3809900000000003E-4</v>
      </c>
      <c r="E12">
        <v>1.044856E-3</v>
      </c>
      <c r="F12">
        <v>6.3218900000000001E-4</v>
      </c>
      <c r="G12">
        <v>4.1817319999999996E-3</v>
      </c>
      <c r="H12">
        <v>5.2106690000000002E-3</v>
      </c>
      <c r="I12">
        <v>3.155957E-3</v>
      </c>
    </row>
    <row r="13" spans="1:9" x14ac:dyDescent="0.4">
      <c r="A13">
        <f t="shared" si="0"/>
        <v>45</v>
      </c>
      <c r="B13">
        <v>5</v>
      </c>
      <c r="C13" t="s">
        <v>16</v>
      </c>
      <c r="D13">
        <v>1.3906809999999999E-3</v>
      </c>
      <c r="E13">
        <v>1.7147810000000001E-3</v>
      </c>
      <c r="F13">
        <v>1.0714120000000001E-3</v>
      </c>
      <c r="G13">
        <v>6.9293139999999998E-3</v>
      </c>
      <c r="H13">
        <v>8.5373050000000002E-3</v>
      </c>
      <c r="I13">
        <v>5.3427500000000003E-3</v>
      </c>
    </row>
    <row r="14" spans="1:9" x14ac:dyDescent="0.4">
      <c r="A14">
        <f t="shared" si="0"/>
        <v>50</v>
      </c>
      <c r="B14">
        <v>5</v>
      </c>
      <c r="C14" t="s">
        <v>17</v>
      </c>
      <c r="D14">
        <v>2.3341569999999999E-3</v>
      </c>
      <c r="E14">
        <v>2.925754E-3</v>
      </c>
      <c r="F14">
        <v>1.7601680000000001E-3</v>
      </c>
      <c r="G14">
        <v>1.1603074E-2</v>
      </c>
      <c r="H14">
        <v>1.4522548E-2</v>
      </c>
      <c r="I14">
        <v>8.7622829999999992E-3</v>
      </c>
    </row>
    <row r="15" spans="1:9" x14ac:dyDescent="0.4">
      <c r="A15">
        <f t="shared" si="0"/>
        <v>55</v>
      </c>
      <c r="B15">
        <v>5</v>
      </c>
      <c r="C15" t="s">
        <v>18</v>
      </c>
      <c r="D15">
        <v>3.7658050000000001E-3</v>
      </c>
      <c r="E15">
        <v>4.8043269999999997E-3</v>
      </c>
      <c r="F15">
        <v>2.7782649999999998E-3</v>
      </c>
      <c r="G15">
        <v>1.8653412000000001E-2</v>
      </c>
      <c r="H15">
        <v>2.3736541E-2</v>
      </c>
      <c r="I15">
        <v>1.3795505E-2</v>
      </c>
    </row>
    <row r="16" spans="1:9" x14ac:dyDescent="0.4">
      <c r="A16">
        <f t="shared" si="0"/>
        <v>60</v>
      </c>
      <c r="B16">
        <v>5</v>
      </c>
      <c r="C16" t="s">
        <v>19</v>
      </c>
      <c r="D16">
        <v>5.9915919999999996E-3</v>
      </c>
      <c r="E16">
        <v>7.8179419999999996E-3</v>
      </c>
      <c r="F16">
        <v>4.300473E-3</v>
      </c>
      <c r="G16">
        <v>2.9515843E-2</v>
      </c>
      <c r="H16">
        <v>3.8340351000000002E-2</v>
      </c>
      <c r="I16">
        <v>2.1273646E-2</v>
      </c>
    </row>
    <row r="17" spans="1:9" x14ac:dyDescent="0.4">
      <c r="A17">
        <f t="shared" si="0"/>
        <v>65</v>
      </c>
      <c r="B17">
        <v>5</v>
      </c>
      <c r="C17" t="s">
        <v>20</v>
      </c>
      <c r="D17">
        <v>9.6557489999999999E-3</v>
      </c>
      <c r="E17">
        <v>1.2675512999999999E-2</v>
      </c>
      <c r="F17">
        <v>6.916892E-3</v>
      </c>
      <c r="G17">
        <v>4.7140794999999999E-2</v>
      </c>
      <c r="H17">
        <v>6.1430895999999999E-2</v>
      </c>
      <c r="I17">
        <v>3.3996582999999997E-2</v>
      </c>
    </row>
    <row r="18" spans="1:9" x14ac:dyDescent="0.4">
      <c r="A18">
        <f t="shared" si="0"/>
        <v>70</v>
      </c>
      <c r="B18">
        <v>5</v>
      </c>
      <c r="C18" t="s">
        <v>21</v>
      </c>
      <c r="D18">
        <v>1.6014425999999998E-2</v>
      </c>
      <c r="E18">
        <v>2.1030259999999999E-2</v>
      </c>
      <c r="F18">
        <v>1.16144E-2</v>
      </c>
      <c r="G18">
        <v>7.6989765000000002E-2</v>
      </c>
      <c r="H18">
        <v>9.9899041999999993E-2</v>
      </c>
      <c r="I18">
        <v>5.6433402000000001E-2</v>
      </c>
    </row>
    <row r="19" spans="1:9" x14ac:dyDescent="0.4">
      <c r="A19">
        <f t="shared" si="0"/>
        <v>75</v>
      </c>
      <c r="B19">
        <v>5</v>
      </c>
      <c r="C19" t="s">
        <v>22</v>
      </c>
      <c r="D19">
        <v>2.6024124999999999E-2</v>
      </c>
      <c r="E19">
        <v>3.3743975000000002E-2</v>
      </c>
      <c r="F19">
        <v>1.9814179000000001E-2</v>
      </c>
      <c r="G19">
        <v>0.12217207400000001</v>
      </c>
      <c r="H19">
        <v>0.15559397799999999</v>
      </c>
      <c r="I19">
        <v>9.4394998999999993E-2</v>
      </c>
    </row>
    <row r="20" spans="1:9" x14ac:dyDescent="0.4">
      <c r="A20">
        <f t="shared" si="0"/>
        <v>80</v>
      </c>
      <c r="B20">
        <v>5</v>
      </c>
      <c r="C20" t="s">
        <v>23</v>
      </c>
      <c r="D20">
        <v>5.1138744E-2</v>
      </c>
      <c r="E20">
        <v>6.3905376999999999E-2</v>
      </c>
      <c r="F20">
        <v>4.2108024000000001E-2</v>
      </c>
      <c r="G20">
        <v>0.22670960800000001</v>
      </c>
      <c r="H20">
        <v>0.27551039500000002</v>
      </c>
      <c r="I20">
        <v>0.19048749100000001</v>
      </c>
    </row>
    <row r="21" spans="1:9" x14ac:dyDescent="0.4">
      <c r="A21">
        <f t="shared" si="0"/>
        <v>85</v>
      </c>
      <c r="B21" t="s">
        <v>41</v>
      </c>
      <c r="C21" t="s">
        <v>24</v>
      </c>
      <c r="D21">
        <v>0.14169629</v>
      </c>
      <c r="E21">
        <v>0.16169430000000001</v>
      </c>
      <c r="F21">
        <v>0.13193554900000001</v>
      </c>
      <c r="G21">
        <v>1</v>
      </c>
      <c r="H21">
        <v>1</v>
      </c>
      <c r="I21">
        <v>1</v>
      </c>
    </row>
  </sheetData>
  <mergeCells count="2"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Afghanistan</vt:lpstr>
      <vt:lpstr>Bangladesh</vt:lpstr>
      <vt:lpstr>India</vt:lpstr>
      <vt:lpstr>Cuba</vt:lpstr>
      <vt:lpstr>USA</vt:lpstr>
      <vt:lpstr>Japan</vt:lpstr>
      <vt:lpstr>Germany</vt:lpstr>
      <vt:lpstr>SouthAfrica</vt:lpstr>
      <vt:lpstr>Chile</vt:lpstr>
      <vt:lpstr>Uganda</vt:lpstr>
      <vt:lpstr>Brazil</vt:lpstr>
      <vt:lpstr>Italy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2023-02-04T10:31:05Z</dcterms:created>
  <dcterms:modified xsi:type="dcterms:W3CDTF">2023-02-09T06:53:36Z</dcterms:modified>
</cp:coreProperties>
</file>