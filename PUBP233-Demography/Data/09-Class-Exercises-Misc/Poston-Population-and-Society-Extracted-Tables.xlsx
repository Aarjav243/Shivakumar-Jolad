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UG2_PUBP233\DocsReportBookChapters\"/>
    </mc:Choice>
  </mc:AlternateContent>
  <xr:revisionPtr revIDLastSave="0" documentId="13_ncr:1_{5601C91A-F35A-411D-8E29-ACF56BF86083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B11" i="2"/>
  <c r="I19" i="2"/>
  <c r="I20" i="2"/>
  <c r="I21" i="2"/>
  <c r="I22" i="2"/>
  <c r="I23" i="2"/>
  <c r="I24" i="2"/>
  <c r="I18" i="2"/>
</calcChain>
</file>

<file path=xl/sharedStrings.xml><?xml version="1.0" encoding="utf-8"?>
<sst xmlns="http://schemas.openxmlformats.org/spreadsheetml/2006/main" count="194" uniqueCount="161">
  <si>
    <t>Table 3.1. Fertility data and rates for the United States in 2005</t>
  </si>
  <si>
    <t>Women in age</t>
  </si>
  <si>
    <t>Live births to</t>
  </si>
  <si>
    <t>Age-specific fertility</t>
  </si>
  <si>
    <t>group (midyear</t>
  </si>
  <si>
    <t>women in age</t>
  </si>
  <si>
    <t>rates live births per</t>
  </si>
  <si>
    <t>Age group</t>
  </si>
  <si>
    <t>population)</t>
  </si>
  <si>
    <t>group</t>
  </si>
  <si>
    <t>1,000 women ASFR</t>
  </si>
  <si>
    <t>ASFR × 5</t>
  </si>
  <si>
    <t>Col. 1</t>
  </si>
  <si>
    <t>Col. 2</t>
  </si>
  <si>
    <t>Col. 3</t>
  </si>
  <si>
    <t>Col. 4</t>
  </si>
  <si>
    <t>Col. 5</t>
  </si>
  <si>
    <t>15-19</t>
  </si>
  <si>
    <t>20-24</t>
  </si>
  <si>
    <t>25-29</t>
  </si>
  <si>
    <t>30-34</t>
  </si>
  <si>
    <t>35-39</t>
  </si>
  <si>
    <t>40-44</t>
  </si>
  <si>
    <t>45-49∗</t>
  </si>
  <si>
    <t>totals</t>
  </si>
  <si>
    <t>2,055.2a</t>
  </si>
  <si>
    <t>∗ Data are for live births to mothers 45+ per 1,000 women 45-49.</t>
  </si>
  <si>
    <t>a TFR =∑(ASFR ∗ 5) = 2,055.2.</t>
  </si>
  <si>
    <t>Sources: For population data: U.S. Bureau of the Census, 2008; for birth data: Hamilton, Martin,</t>
  </si>
  <si>
    <t>and Ventura, 2007.</t>
  </si>
  <si>
    <t>In the United States in 2005, there were 73,339,372 women of ages 15</t>
  </si>
  <si>
    <t>to 49; and 4,133,702 babies were born in 2005 (see Table 3.1). Dividing</t>
  </si>
  <si>
    <t>the latter figure by the former and multiplying the result by 1,000 yields</t>
  </si>
  <si>
    <t>a GFR value for the United States in 2005 of 56.4. This means that there</t>
  </si>
  <si>
    <t>were more than 56 babies born in the United States in 2005 for every 1,000</t>
  </si>
  <si>
    <t>women between the ages of 15 and 49.</t>
  </si>
  <si>
    <t>Sometimes the denominator of the GFR is restricted to women between</t>
  </si>
  <si>
    <t>the ages of 15 and 44. This occurs because, as will be noted, not many</t>
  </si>
  <si>
    <t>babies are born to women in the 45-49 age group. To illustrate, of the</t>
  </si>
  <si>
    <t>4,133,702 births that occurred in the United States in 2005, only 6,546, or</t>
  </si>
  <si>
    <t>0.15 percent, occurred to women over the age of 44 (see Table 3.1).</t>
  </si>
  <si>
    <t>In Figure 3.1, we show GFRs for the United States for individual years</t>
  </si>
  <si>
    <t>between 1970 and 2007. It is important to keep in mind when viewing</t>
  </si>
  <si>
    <t>these GFRs that the denominator is women 15-44, not women 15-49.</t>
  </si>
  <si>
    <t>TFR</t>
  </si>
  <si>
    <t>TFR</t>
  </si>
  <si>
    <t>GFR</t>
  </si>
  <si>
    <t>GFR</t>
  </si>
  <si>
    <t>Year</t>
  </si>
  <si>
    <t>Figure 3.1. TFRs and GFRs: United States, 1970-2005. Source: The authors.</t>
  </si>
  <si>
    <t>Fertility</t>
  </si>
  <si>
    <t>Table 3.2. Age-specific fertility rates, United States, 1970-1974 to 2000-2004</t>
  </si>
  <si>
    <t>15-19</t>
  </si>
  <si>
    <t>20-24</t>
  </si>
  <si>
    <t>25-29</t>
  </si>
  <si>
    <t>30-34</t>
  </si>
  <si>
    <t>35-39</t>
  </si>
  <si>
    <t>40-44</t>
  </si>
  <si>
    <t>45-49∗</t>
  </si>
  <si>
    <t>Total</t>
  </si>
  <si>
    <t>years</t>
  </si>
  <si>
    <t>years</t>
  </si>
  <si>
    <t>years</t>
  </si>
  <si>
    <t>years</t>
  </si>
  <si>
    <t>years</t>
  </si>
  <si>
    <t>years</t>
  </si>
  <si>
    <t>years</t>
  </si>
  <si>
    <t>fertility rate</t>
  </si>
  <si>
    <t>1970-1974</t>
  </si>
  <si>
    <t>1975-1979</t>
  </si>
  <si>
    <t>1980-1984</t>
  </si>
  <si>
    <t>1985-1989</t>
  </si>
  <si>
    <t>1990-1994</t>
  </si>
  <si>
    <t>1995-1999</t>
  </si>
  <si>
    <t>2000-2004</t>
  </si>
  <si>
    <t>∗ Before 1997, data are for 45-49 per 1,000 women; beginning with 1997, rates are for live births</t>
  </si>
  <si>
    <t>to mothers 45-54 per 1,000 women 45-49.</t>
  </si>
  <si>
    <t>Source: The authors.</t>
  </si>
  <si>
    <t>The cross-sectional TFR may be calculated for any of these years by</t>
  </si>
  <si>
    <t>summing the ASFRs across the respective row and multiplying the sum by</t>
  </si>
  <si>
    <t>5. To illustrate, if we wanted the average annual cross-sectional TFR for the</t>
  </si>
  <si>
    <t>period 1970-1974, we would sum the seven ASFRs for that period, namely,</t>
  </si>
  <si>
    <t>62.3, 137.1, 124.1, 61.9, 25.5, 6.2, and 0.4, and then multiply the total by</t>
  </si>
  <si>
    <t>5 to produce an annual period TFR for 1970-1974 of 2,087.5 This value</t>
  </si>
  <si>
    <t>reflects the number of children that a hypothetical group of 1,000 women</t>
  </si>
  <si>
    <t>would produce were they to be subjected to the ASFRs of the United States</t>
  </si>
  <si>
    <t>for the 1970-1974 period.</t>
  </si>
  <si>
    <t>In contrast, if we desired the cohort TFR for those women who started</t>
  </si>
  <si>
    <t>their childbearing years in 1970-1974 (we refer to those women as the</t>
  </si>
  <si>
    <t>1970-1974 fertility cohort because they initiated their childbearing during</t>
  </si>
  <si>
    <t>those years), we would take the ASFRs on the diagonal line in Table 3.2</t>
  </si>
  <si>
    <t>and observe the ASFRs for the 1970-1974 fertility cohort of women as</t>
  </si>
  <si>
    <t>they proceeded through their childbearing years. When those women were</t>
  </si>
  <si>
    <t>15-19 in 1970-1974, they had an ASFR of 62.3; when they were 20-24 in</t>
  </si>
  <si>
    <t>1975-1979, they had an ASFR of 111.8; when they were 25-29 in 1980-</t>
  </si>
  <si>
    <t>1984, they had an ASFR of 110.5; and so forth until they were 45-49</t>
  </si>
  <si>
    <t>in 2000-2004 and had an ASFR of 0.5. When we sum these ASFRs and</t>
  </si>
  <si>
    <t>multiply the total by 5, we have a cohort TFR of 1,986.5. This is the actual</t>
  </si>
  <si>
    <t>number of children that were produced on average by 1,000 members of</t>
  </si>
  <si>
    <t>the 1970-1974 fertility cohort.</t>
  </si>
  <si>
    <t>A period (i.e., cross-sectional) TFR refers to the fertility of a hypo-</t>
  </si>
  <si>
    <t>thetical cohort (an imaginary set) of 1,000 women, whereas a cohort TFR</t>
  </si>
  <si>
    <t>refers to the actual fertility of a real cohort of 1,000 women. A period TFR</t>
  </si>
  <si>
    <t>for a year, say, the year 2007, refers to the fertility produced by women of</t>
  </si>
  <si>
    <t>all ages in the year 2007, a particular period of time. Alternately, a cohort</t>
  </si>
  <si>
    <t>Table 3.3. Calculation of gross reproduction rate (GRR) and net reproduction (NRR), United States</t>
  </si>
  <si>
    <t>Proportion of</t>
  </si>
  <si>
    <t>Number of   Number of</t>
  </si>
  <si>
    <t>female babies</t>
  </si>
  <si>
    <t>Surviving</t>
  </si>
  <si>
    <t>Number of   births to</t>
  </si>
  <si>
    <t>female births</t>
  </si>
  <si>
    <t>Female</t>
  </si>
  <si>
    <t>Female birth</t>
  </si>
  <si>
    <t>surviving to</t>
  </si>
  <si>
    <t>daughters per</t>
  </si>
  <si>
    <t>Age</t>
  </si>
  <si>
    <t>Midpoint</t>
  </si>
  <si>
    <t>women in</t>
  </si>
  <si>
    <t>women in</t>
  </si>
  <si>
    <t>to women in</t>
  </si>
  <si>
    <t>births per</t>
  </si>
  <si>
    <t>rate during</t>
  </si>
  <si>
    <t>midpoint of</t>
  </si>
  <si>
    <t>woman during</t>
  </si>
  <si>
    <t>group</t>
  </si>
  <si>
    <t>of interval</t>
  </si>
  <si>
    <t>age group</t>
  </si>
  <si>
    <t>age group</t>
  </si>
  <si>
    <t>age group</t>
  </si>
  <si>
    <t>woman</t>
  </si>
  <si>
    <t>5-year interval</t>
  </si>
  <si>
    <t>age interval</t>
  </si>
  <si>
    <t>5-year interval</t>
  </si>
  <si>
    <t>15-19</t>
  </si>
  <si>
    <t>20-24</t>
  </si>
  <si>
    <t>25-29</t>
  </si>
  <si>
    <t>30-34</t>
  </si>
  <si>
    <t>35-39</t>
  </si>
  <si>
    <t>40-44</t>
  </si>
  <si>
    <t>45-49∗</t>
  </si>
  <si>
    <t>1.00296 = GRR</t>
  </si>
  <si>
    <t>0.98218 = NRR</t>
  </si>
  <si>
    <t>∗ Before 1997, data are for 45-49 per 1,000 women 45-49; beginning with 1997, rates are for live births to mothers 45-54 per 1,000 women 45-49.</t>
  </si>
  <si>
    <t>Sources: For population data: U.S. Bureau of the Census, 2008; for birth data, Hamilton, Martin, and Ventura, 2007.</t>
  </si>
  <si>
    <t>Women in the age group</t>
  </si>
  <si>
    <t>Live births to women in the age group</t>
  </si>
  <si>
    <t>ASFR</t>
  </si>
  <si>
    <t>year/age-interval</t>
  </si>
  <si>
    <t>Age Group</t>
  </si>
  <si>
    <t>Number of   births to women in the age group</t>
  </si>
  <si>
    <t>Women in age group</t>
  </si>
  <si>
    <t>No of Females births</t>
  </si>
  <si>
    <t>Female Births per women</t>
  </si>
  <si>
    <t>Female Births during 5-year interval</t>
  </si>
  <si>
    <t>Female Babies surviving to the end of age interval</t>
  </si>
  <si>
    <t>Survving daughters per women during 5-year interval</t>
  </si>
  <si>
    <t>Age specific fertility Rate (ASFR) per 1000</t>
  </si>
  <si>
    <t>ASFR*5</t>
  </si>
  <si>
    <t>Table 3.2. Age-specific fertility rates, United States, 1970–1974 to 2000–2004</t>
  </si>
  <si>
    <r>
      <t xml:space="preserve">Table 3.3. </t>
    </r>
    <r>
      <rPr>
        <b/>
        <sz val="9"/>
        <color rgb="FFFFFFFF"/>
        <rFont val="Serifa-Bold"/>
      </rPr>
      <t>Calculation of gross reproduction rate (GRR) and net reproduction (NRR), United States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</si>
</sst>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>
    <font>
      <sz val="10"/>
      <name val="Arial"/>
      <family val="2"/>
    </font>
    <font>
      <sz val="9"/>
      <color rgb="FF919191"/>
      <name val="Times New Roman"/>
      <family val="2"/>
    </font>
    <font>
      <sz val="9"/>
      <name val="Times New Roman Bold"/>
      <family val="2"/>
    </font>
    <font>
      <sz val="9"/>
      <name val="Times New Roman"/>
      <family val="2"/>
    </font>
    <font>
      <sz val="9"/>
      <name val="Times New Roman"/>
      <family val="2"/>
    </font>
    <font>
      <sz val="8"/>
      <name val="Arial"/>
      <family val="2"/>
    </font>
    <font>
      <sz val="8"/>
      <name val="Times New Roman Italic"/>
      <family val="2"/>
    </font>
    <font>
      <sz val="8"/>
      <name val="Times New Roman"/>
      <family val="2"/>
    </font>
    <font>
      <sz val="11"/>
      <name val="Times New Roman"/>
      <family val="2"/>
    </font>
    <font>
      <sz val="9"/>
      <name val="Arial"/>
      <family val="2"/>
    </font>
    <font>
      <sz val="9"/>
      <name val="Arial Bold"/>
      <family val="2"/>
    </font>
    <font>
      <sz val="11"/>
      <name val="Times New Roman Bold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9"/>
      <color rgb="FFFFFFFF"/>
      <name val="Serifa-Black"/>
    </font>
    <font>
      <b/>
      <sz val="9"/>
      <color rgb="FFFFFFFF"/>
      <name val="Serifa-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" fontId="5" fillId="0" borderId="0" xfId="0" applyNumberFormat="1" applyFont="1"/>
    <xf numFmtId="0" fontId="9" fillId="0" borderId="0" xfId="0" applyFont="1"/>
    <xf numFmtId="0" fontId="10" fillId="0" borderId="0" xfId="0" applyFont="1"/>
    <xf numFmtId="165" fontId="4" fillId="0" borderId="0" xfId="0" applyNumberFormat="1" applyFont="1"/>
    <xf numFmtId="0" fontId="1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16"/>
  <sheetViews>
    <sheetView workbookViewId="0">
      <selection activeCell="C4" sqref="C4"/>
    </sheetView>
  </sheetViews>
  <sheetFormatPr defaultRowHeight="12.45"/>
  <cols>
    <col min="1" max="1" width="31"/>
    <col min="2" max="2" width="13"/>
    <col min="3" max="3" width="27"/>
    <col min="4" max="4" width="21"/>
    <col min="5" max="5" width="27"/>
    <col min="6" max="6" width="10"/>
    <col min="7" max="7" width="14"/>
    <col min="8" max="8" width="12"/>
    <col min="9" max="9" width="14"/>
  </cols>
  <sheetData>
    <row r="3" spans="1:5">
      <c r="A3" s="1">
        <v>42</v>
      </c>
      <c r="B3" s="2"/>
    </row>
    <row r="5" spans="1:5">
      <c r="B5" s="4" t="s">
        <v>1</v>
      </c>
      <c r="C5" s="4" t="s">
        <v>2</v>
      </c>
      <c r="D5" s="4" t="s">
        <v>3</v>
      </c>
    </row>
    <row r="6" spans="1:5">
      <c r="B6" s="4" t="s">
        <v>4</v>
      </c>
      <c r="C6" s="4" t="s">
        <v>5</v>
      </c>
      <c r="D6" s="4" t="s">
        <v>6</v>
      </c>
    </row>
    <row r="7" spans="1: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 spans="1: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</row>
    <row r="9" spans="1:5">
      <c r="A9" s="4" t="s">
        <v>17</v>
      </c>
      <c r="B9" s="5">
        <v>10240239</v>
      </c>
      <c r="C9" s="5">
        <v>414406</v>
      </c>
      <c r="D9" s="6">
        <v>40.47</v>
      </c>
      <c r="E9" s="7">
        <v>202.3</v>
      </c>
    </row>
    <row r="10" spans="1:5">
      <c r="A10" s="4" t="s">
        <v>18</v>
      </c>
      <c r="B10" s="5">
        <v>10150079</v>
      </c>
      <c r="C10" s="5">
        <v>1040399</v>
      </c>
      <c r="D10" s="6">
        <v>102.5</v>
      </c>
      <c r="E10" s="7">
        <v>512.5</v>
      </c>
    </row>
    <row r="11" spans="1:5">
      <c r="A11" s="4" t="s">
        <v>19</v>
      </c>
      <c r="B11" s="5">
        <v>9767524</v>
      </c>
      <c r="C11" s="5">
        <v>1132293</v>
      </c>
      <c r="D11" s="6">
        <v>115.92</v>
      </c>
      <c r="E11" s="7">
        <v>579.6</v>
      </c>
    </row>
    <row r="12" spans="1:5">
      <c r="A12" s="4" t="s">
        <v>20</v>
      </c>
      <c r="B12" s="5">
        <v>9906365</v>
      </c>
      <c r="C12" s="5">
        <v>952013</v>
      </c>
      <c r="D12" s="6">
        <v>96.1</v>
      </c>
      <c r="E12" s="7">
        <v>480.5</v>
      </c>
    </row>
    <row r="13" spans="1:5">
      <c r="A13" s="4" t="s">
        <v>21</v>
      </c>
      <c r="B13" s="5">
        <v>10427161</v>
      </c>
      <c r="C13" s="5">
        <v>483401</v>
      </c>
      <c r="D13" s="6">
        <v>46.36</v>
      </c>
      <c r="E13" s="7">
        <v>231.8</v>
      </c>
    </row>
    <row r="14" spans="1:5">
      <c r="A14" s="4" t="s">
        <v>22</v>
      </c>
      <c r="B14" s="5">
        <v>11475863</v>
      </c>
      <c r="C14" s="5">
        <v>104644</v>
      </c>
      <c r="D14" s="6">
        <v>9.1199999999999992</v>
      </c>
      <c r="E14" s="7">
        <v>45.6</v>
      </c>
    </row>
    <row r="15" spans="1:5">
      <c r="A15" s="4" t="s">
        <v>23</v>
      </c>
      <c r="B15" s="5">
        <v>11372141</v>
      </c>
      <c r="C15" s="5">
        <v>6546</v>
      </c>
      <c r="D15" s="6">
        <v>0.57999999999999996</v>
      </c>
      <c r="E15" s="7">
        <v>2.9</v>
      </c>
    </row>
    <row r="16" spans="1:5">
      <c r="A16" s="4" t="s">
        <v>24</v>
      </c>
      <c r="B16" s="5">
        <v>73339372</v>
      </c>
      <c r="C16" s="5">
        <v>4133702</v>
      </c>
      <c r="E16" s="4" t="s">
        <v>25</v>
      </c>
    </row>
    <row r="18" spans="1:1">
      <c r="A18" s="8" t="s">
        <v>26</v>
      </c>
    </row>
    <row r="19" spans="1:1">
      <c r="A19" s="9" t="s">
        <v>27</v>
      </c>
    </row>
    <row r="21" spans="1:1">
      <c r="A21" s="9" t="s">
        <v>28</v>
      </c>
    </row>
    <row r="22" spans="1:1">
      <c r="A22" s="10" t="s">
        <v>29</v>
      </c>
    </row>
    <row r="24" spans="1:1" ht="14.15">
      <c r="A24" s="11" t="s">
        <v>30</v>
      </c>
    </row>
    <row r="25" spans="1:1" ht="14.15">
      <c r="A25" s="11" t="s">
        <v>31</v>
      </c>
    </row>
    <row r="26" spans="1:1" ht="14.15">
      <c r="A26" s="11" t="s">
        <v>32</v>
      </c>
    </row>
    <row r="27" spans="1:1" ht="14.15">
      <c r="A27" s="11" t="s">
        <v>33</v>
      </c>
    </row>
    <row r="28" spans="1:1" ht="14.15">
      <c r="A28" s="11" t="s">
        <v>34</v>
      </c>
    </row>
    <row r="29" spans="1:1" ht="14.15">
      <c r="A29" s="11" t="s">
        <v>35</v>
      </c>
    </row>
    <row r="30" spans="1:1" ht="14.15">
      <c r="A30" s="11" t="s">
        <v>36</v>
      </c>
    </row>
    <row r="31" spans="1:1" ht="14.15">
      <c r="A31" s="11" t="s">
        <v>37</v>
      </c>
    </row>
    <row r="32" spans="1:1" ht="14.15">
      <c r="A32" s="11" t="s">
        <v>38</v>
      </c>
    </row>
    <row r="33" spans="1:4" ht="14.15">
      <c r="A33" s="11" t="s">
        <v>39</v>
      </c>
    </row>
    <row r="34" spans="1:4" ht="14.15">
      <c r="A34" s="11" t="s">
        <v>40</v>
      </c>
    </row>
    <row r="35" spans="1:4" ht="14.15">
      <c r="A35" s="11" t="s">
        <v>41</v>
      </c>
    </row>
    <row r="36" spans="1:4" ht="14.15">
      <c r="A36" s="11" t="s">
        <v>42</v>
      </c>
    </row>
    <row r="37" spans="1:4" ht="14.15">
      <c r="A37" s="11" t="s">
        <v>43</v>
      </c>
    </row>
    <row r="39" spans="1:4">
      <c r="A39" s="12">
        <v>2500</v>
      </c>
      <c r="B39" s="12">
        <v>90</v>
      </c>
    </row>
    <row r="40" spans="1:4">
      <c r="A40" s="12">
        <v>2400</v>
      </c>
      <c r="B40" s="12">
        <v>85</v>
      </c>
    </row>
    <row r="41" spans="1:4">
      <c r="A41" s="12">
        <v>2300</v>
      </c>
      <c r="B41" s="12">
        <v>80</v>
      </c>
    </row>
    <row r="42" spans="1:4">
      <c r="A42" s="12">
        <v>2200</v>
      </c>
      <c r="B42" s="12">
        <v>75</v>
      </c>
    </row>
    <row r="43" spans="1:4">
      <c r="A43" s="12">
        <v>2100</v>
      </c>
      <c r="B43" s="12">
        <v>70</v>
      </c>
      <c r="D43" s="13" t="s">
        <v>44</v>
      </c>
    </row>
    <row r="44" spans="1:4">
      <c r="A44" s="14" t="s">
        <v>45</v>
      </c>
      <c r="B44" s="12">
        <v>2000</v>
      </c>
      <c r="C44" s="12">
        <v>65</v>
      </c>
      <c r="D44" s="14" t="s">
        <v>46</v>
      </c>
    </row>
    <row r="45" spans="1:4">
      <c r="A45" s="12">
        <v>1900</v>
      </c>
      <c r="B45" s="12">
        <v>60</v>
      </c>
      <c r="D45" s="13" t="s">
        <v>47</v>
      </c>
    </row>
    <row r="46" spans="1:4">
      <c r="A46" s="12">
        <v>55</v>
      </c>
    </row>
    <row r="47" spans="1:4">
      <c r="A47" s="12">
        <v>1800</v>
      </c>
      <c r="B47" s="12">
        <v>50</v>
      </c>
    </row>
    <row r="48" spans="1:4">
      <c r="A48" s="12">
        <v>1700</v>
      </c>
      <c r="B48" s="12">
        <v>45</v>
      </c>
    </row>
    <row r="49" spans="1:9">
      <c r="A49" s="12">
        <v>1600</v>
      </c>
      <c r="B49" s="12">
        <v>40</v>
      </c>
    </row>
    <row r="51" spans="1:9">
      <c r="A51" s="14" t="s">
        <v>48</v>
      </c>
    </row>
    <row r="53" spans="1:9">
      <c r="A53" s="2" t="s">
        <v>49</v>
      </c>
    </row>
    <row r="55" spans="1:9">
      <c r="A55" s="1">
        <v>48</v>
      </c>
      <c r="B55" s="2" t="s">
        <v>50</v>
      </c>
    </row>
    <row r="56" spans="1:9">
      <c r="E56" s="3" t="s">
        <v>51</v>
      </c>
    </row>
    <row r="57" spans="1:9">
      <c r="B57" s="4" t="s">
        <v>52</v>
      </c>
      <c r="C57" s="4" t="s">
        <v>53</v>
      </c>
      <c r="D57" s="4" t="s">
        <v>54</v>
      </c>
      <c r="E57" s="4" t="s">
        <v>55</v>
      </c>
      <c r="F57" s="4" t="s">
        <v>56</v>
      </c>
      <c r="G57" s="4" t="s">
        <v>57</v>
      </c>
      <c r="H57" s="4" t="s">
        <v>58</v>
      </c>
      <c r="I57" s="4" t="s">
        <v>59</v>
      </c>
    </row>
    <row r="58" spans="1:9">
      <c r="B58" s="4" t="s">
        <v>60</v>
      </c>
      <c r="C58" s="4" t="s">
        <v>61</v>
      </c>
      <c r="D58" s="4" t="s">
        <v>62</v>
      </c>
      <c r="E58" s="4" t="s">
        <v>63</v>
      </c>
      <c r="F58" s="4" t="s">
        <v>64</v>
      </c>
      <c r="G58" s="4" t="s">
        <v>65</v>
      </c>
      <c r="H58" s="4" t="s">
        <v>66</v>
      </c>
      <c r="I58" s="4" t="s">
        <v>67</v>
      </c>
    </row>
    <row r="59" spans="1:9">
      <c r="A59" s="4" t="s">
        <v>68</v>
      </c>
      <c r="B59" s="7">
        <v>62.3</v>
      </c>
      <c r="C59" s="7">
        <v>137.1</v>
      </c>
      <c r="D59" s="7">
        <v>124.1</v>
      </c>
      <c r="E59" s="7">
        <v>61.9</v>
      </c>
      <c r="F59" s="7">
        <v>25.5</v>
      </c>
      <c r="G59" s="7">
        <v>6.2</v>
      </c>
      <c r="H59" s="7">
        <v>0.4</v>
      </c>
      <c r="I59" s="15">
        <v>2087.5</v>
      </c>
    </row>
    <row r="60" spans="1:9">
      <c r="A60" s="4" t="s">
        <v>69</v>
      </c>
      <c r="B60" s="7">
        <v>53</v>
      </c>
      <c r="C60" s="7">
        <v>111.8</v>
      </c>
      <c r="D60" s="7">
        <v>109.1</v>
      </c>
      <c r="E60" s="7">
        <v>112.4</v>
      </c>
      <c r="F60" s="7">
        <v>19.2</v>
      </c>
      <c r="G60" s="7">
        <v>4.2</v>
      </c>
      <c r="H60" s="7">
        <v>0.2</v>
      </c>
      <c r="I60" s="15">
        <v>2049.5</v>
      </c>
    </row>
    <row r="61" spans="1:9">
      <c r="A61" s="4" t="s">
        <v>70</v>
      </c>
      <c r="B61" s="7">
        <v>51.9</v>
      </c>
      <c r="C61" s="7">
        <v>110.7</v>
      </c>
      <c r="D61" s="7">
        <v>110.5</v>
      </c>
      <c r="E61" s="7">
        <v>63.9</v>
      </c>
      <c r="F61" s="7">
        <v>21.2</v>
      </c>
      <c r="G61" s="7">
        <v>3.9</v>
      </c>
      <c r="H61" s="7">
        <v>0.2</v>
      </c>
      <c r="I61" s="15">
        <v>1811.5</v>
      </c>
    </row>
    <row r="62" spans="1:9">
      <c r="A62" s="4" t="s">
        <v>71</v>
      </c>
      <c r="B62" s="7">
        <v>52.4</v>
      </c>
      <c r="C62" s="7">
        <v>109.5</v>
      </c>
      <c r="D62" s="7">
        <v>112.9</v>
      </c>
      <c r="E62" s="7">
        <v>72.7</v>
      </c>
      <c r="F62" s="7">
        <v>26.5</v>
      </c>
      <c r="G62" s="7">
        <v>11.3</v>
      </c>
      <c r="H62" s="7">
        <v>0.2</v>
      </c>
      <c r="I62" s="15">
        <v>1927.5</v>
      </c>
    </row>
    <row r="63" spans="1:9">
      <c r="A63" s="4" t="s">
        <v>72</v>
      </c>
      <c r="B63" s="7">
        <v>59.8</v>
      </c>
      <c r="C63" s="7">
        <v>113.2</v>
      </c>
      <c r="D63" s="7">
        <v>115.5</v>
      </c>
      <c r="E63" s="7">
        <v>80</v>
      </c>
      <c r="F63" s="7">
        <v>32.4</v>
      </c>
      <c r="G63" s="7">
        <v>5.9</v>
      </c>
      <c r="H63" s="7">
        <v>0.3</v>
      </c>
      <c r="I63" s="15">
        <v>2035.5</v>
      </c>
    </row>
    <row r="64" spans="1:9">
      <c r="A64" s="4" t="s">
        <v>73</v>
      </c>
      <c r="B64" s="7">
        <v>52</v>
      </c>
      <c r="C64" s="7">
        <v>107.8</v>
      </c>
      <c r="D64" s="7">
        <v>109.4</v>
      </c>
      <c r="E64" s="7">
        <v>83.7</v>
      </c>
      <c r="F64" s="7">
        <v>35.9</v>
      </c>
      <c r="G64" s="7">
        <v>7.1</v>
      </c>
      <c r="H64" s="7">
        <v>0.4</v>
      </c>
      <c r="I64" s="15">
        <v>1981.5</v>
      </c>
    </row>
    <row r="65" spans="1:9">
      <c r="A65" s="4" t="s">
        <v>74</v>
      </c>
      <c r="B65" s="7">
        <v>43.7</v>
      </c>
      <c r="C65" s="7">
        <v>104.8</v>
      </c>
      <c r="D65" s="7">
        <v>114.3</v>
      </c>
      <c r="E65" s="7">
        <v>93</v>
      </c>
      <c r="F65" s="7">
        <v>42.2</v>
      </c>
      <c r="G65" s="7">
        <v>8.4</v>
      </c>
      <c r="H65" s="7">
        <v>0.5</v>
      </c>
      <c r="I65" s="15">
        <v>2034.5</v>
      </c>
    </row>
    <row r="67" spans="1:9">
      <c r="A67" s="8" t="s">
        <v>75</v>
      </c>
    </row>
    <row r="68" spans="1:9">
      <c r="A68" s="10" t="s">
        <v>76</v>
      </c>
    </row>
    <row r="69" spans="1:9">
      <c r="A69" s="9" t="s">
        <v>77</v>
      </c>
    </row>
    <row r="71" spans="1:9" ht="14.15">
      <c r="A71" s="11" t="s">
        <v>78</v>
      </c>
    </row>
    <row r="72" spans="1:9" ht="14.15">
      <c r="A72" s="11" t="s">
        <v>79</v>
      </c>
    </row>
    <row r="73" spans="1:9" ht="14.15">
      <c r="A73" s="11" t="s">
        <v>80</v>
      </c>
    </row>
    <row r="74" spans="1:9" ht="14.15">
      <c r="A74" s="11" t="s">
        <v>81</v>
      </c>
    </row>
    <row r="75" spans="1:9" ht="14.15">
      <c r="A75" s="11" t="s">
        <v>82</v>
      </c>
    </row>
    <row r="76" spans="1:9" ht="14.15">
      <c r="A76" s="11" t="s">
        <v>83</v>
      </c>
    </row>
    <row r="77" spans="1:9" ht="14.15">
      <c r="A77" s="11" t="s">
        <v>84</v>
      </c>
    </row>
    <row r="78" spans="1:9" ht="14.15">
      <c r="A78" s="11" t="s">
        <v>85</v>
      </c>
    </row>
    <row r="79" spans="1:9" ht="14.15">
      <c r="A79" s="11" t="s">
        <v>86</v>
      </c>
    </row>
    <row r="80" spans="1:9" ht="14.15">
      <c r="A80" s="11" t="s">
        <v>87</v>
      </c>
    </row>
    <row r="81" spans="1:1" ht="14.15">
      <c r="A81" s="11" t="s">
        <v>88</v>
      </c>
    </row>
    <row r="82" spans="1:1" ht="14.15">
      <c r="A82" s="11" t="s">
        <v>89</v>
      </c>
    </row>
    <row r="83" spans="1:1" ht="14.15">
      <c r="A83" s="11" t="s">
        <v>90</v>
      </c>
    </row>
    <row r="84" spans="1:1" ht="14.15">
      <c r="A84" s="11" t="s">
        <v>91</v>
      </c>
    </row>
    <row r="85" spans="1:1" ht="14.15">
      <c r="A85" s="11" t="s">
        <v>92</v>
      </c>
    </row>
    <row r="86" spans="1:1" ht="14.15">
      <c r="A86" s="11" t="s">
        <v>93</v>
      </c>
    </row>
    <row r="87" spans="1:1" ht="14.15">
      <c r="A87" s="11" t="s">
        <v>94</v>
      </c>
    </row>
    <row r="88" spans="1:1" ht="14.15">
      <c r="A88" s="11" t="s">
        <v>95</v>
      </c>
    </row>
    <row r="89" spans="1:1" ht="14.15">
      <c r="A89" s="11" t="s">
        <v>96</v>
      </c>
    </row>
    <row r="90" spans="1:1" ht="14.15">
      <c r="A90" s="11" t="s">
        <v>97</v>
      </c>
    </row>
    <row r="91" spans="1:1" ht="14.15">
      <c r="A91" s="11" t="s">
        <v>98</v>
      </c>
    </row>
    <row r="92" spans="1:1" ht="14.15">
      <c r="A92" s="11" t="s">
        <v>99</v>
      </c>
    </row>
    <row r="93" spans="1:1" ht="14.15">
      <c r="A93" s="11" t="s">
        <v>100</v>
      </c>
    </row>
    <row r="94" spans="1:1" ht="14.15">
      <c r="A94" s="16" t="s">
        <v>101</v>
      </c>
    </row>
    <row r="95" spans="1:1" ht="14.15">
      <c r="A95" s="11" t="s">
        <v>102</v>
      </c>
    </row>
    <row r="96" spans="1:1" ht="14.15">
      <c r="A96" s="11" t="s">
        <v>103</v>
      </c>
    </row>
    <row r="97" spans="1:9" ht="14.15">
      <c r="A97" s="11" t="s">
        <v>104</v>
      </c>
    </row>
    <row r="99" spans="1:9">
      <c r="A99" s="3" t="s">
        <v>105</v>
      </c>
    </row>
    <row r="101" spans="1:9">
      <c r="A101" s="4" t="s">
        <v>106</v>
      </c>
    </row>
    <row r="102" spans="1:9">
      <c r="E102" s="4" t="s">
        <v>107</v>
      </c>
      <c r="H102" s="4" t="s">
        <v>108</v>
      </c>
      <c r="I102" s="4" t="s">
        <v>109</v>
      </c>
    </row>
    <row r="103" spans="1:9">
      <c r="C103" s="4" t="s">
        <v>110</v>
      </c>
      <c r="E103" s="4" t="s">
        <v>111</v>
      </c>
      <c r="F103" s="4" t="s">
        <v>112</v>
      </c>
      <c r="G103" s="4" t="s">
        <v>113</v>
      </c>
      <c r="H103" s="4" t="s">
        <v>114</v>
      </c>
      <c r="I103" s="4" t="s">
        <v>115</v>
      </c>
    </row>
    <row r="104" spans="1:9">
      <c r="A104" s="4" t="s">
        <v>116</v>
      </c>
      <c r="B104" s="4" t="s">
        <v>117</v>
      </c>
      <c r="C104" s="4" t="s">
        <v>118</v>
      </c>
      <c r="D104" s="4" t="s">
        <v>119</v>
      </c>
      <c r="E104" s="4" t="s">
        <v>120</v>
      </c>
      <c r="F104" s="4" t="s">
        <v>121</v>
      </c>
      <c r="G104" s="4" t="s">
        <v>122</v>
      </c>
      <c r="H104" s="4" t="s">
        <v>123</v>
      </c>
      <c r="I104" s="4" t="s">
        <v>124</v>
      </c>
    </row>
    <row r="105" spans="1:9">
      <c r="A105" s="4" t="s">
        <v>125</v>
      </c>
      <c r="B105" s="4" t="s">
        <v>126</v>
      </c>
      <c r="C105" s="4" t="s">
        <v>127</v>
      </c>
      <c r="D105" s="4" t="s">
        <v>128</v>
      </c>
      <c r="E105" s="4" t="s">
        <v>129</v>
      </c>
      <c r="F105" s="4" t="s">
        <v>130</v>
      </c>
      <c r="G105" s="4" t="s">
        <v>131</v>
      </c>
      <c r="H105" s="4" t="s">
        <v>132</v>
      </c>
      <c r="I105" s="4" t="s">
        <v>133</v>
      </c>
    </row>
    <row r="106" spans="1:9">
      <c r="A106" s="4" t="s">
        <v>134</v>
      </c>
      <c r="B106" s="7">
        <v>17.5</v>
      </c>
      <c r="C106" s="5">
        <v>10240239</v>
      </c>
      <c r="D106" s="5">
        <v>414406</v>
      </c>
      <c r="E106" s="5">
        <v>202230</v>
      </c>
      <c r="F106" s="4">
        <v>1.9740000000000001E-2</v>
      </c>
      <c r="G106" s="4">
        <v>9.8739999999999994E-2</v>
      </c>
      <c r="H106" s="4">
        <v>0.9889</v>
      </c>
      <c r="I106" s="4">
        <v>9.7650000000000001E-2</v>
      </c>
    </row>
    <row r="107" spans="1:9">
      <c r="A107" s="4" t="s">
        <v>135</v>
      </c>
      <c r="B107" s="7">
        <v>22.5</v>
      </c>
      <c r="C107" s="5">
        <v>10150079</v>
      </c>
      <c r="D107" s="5">
        <v>1040399</v>
      </c>
      <c r="E107" s="5">
        <v>507715</v>
      </c>
      <c r="F107" s="4">
        <v>5.0020000000000002E-2</v>
      </c>
      <c r="G107" s="4">
        <v>0.25009999999999999</v>
      </c>
      <c r="H107" s="4">
        <v>0.98480000000000001</v>
      </c>
      <c r="I107" s="4">
        <v>0.24631</v>
      </c>
    </row>
    <row r="108" spans="1:9">
      <c r="A108" s="4" t="s">
        <v>136</v>
      </c>
      <c r="B108" s="7">
        <v>27.5</v>
      </c>
      <c r="C108" s="5">
        <v>9767524</v>
      </c>
      <c r="D108" s="5">
        <v>1132293</v>
      </c>
      <c r="E108" s="5">
        <v>552559</v>
      </c>
      <c r="F108" s="4">
        <v>5.6570000000000002E-2</v>
      </c>
      <c r="G108" s="4">
        <v>0.28286</v>
      </c>
      <c r="H108" s="4">
        <v>0.98009999999999997</v>
      </c>
      <c r="I108" s="4">
        <v>0.27722999999999998</v>
      </c>
    </row>
    <row r="109" spans="1:9">
      <c r="A109" s="4" t="s">
        <v>137</v>
      </c>
      <c r="B109" s="7">
        <v>32.5</v>
      </c>
      <c r="C109" s="5">
        <v>9906365</v>
      </c>
      <c r="D109" s="5">
        <v>952013</v>
      </c>
      <c r="E109" s="5">
        <v>464582</v>
      </c>
      <c r="F109" s="4">
        <v>4.6899999999999997E-2</v>
      </c>
      <c r="G109" s="4">
        <v>0.23449</v>
      </c>
      <c r="H109" s="4">
        <v>0.97519999999999996</v>
      </c>
      <c r="I109" s="4">
        <v>0.22867999999999999</v>
      </c>
    </row>
    <row r="110" spans="1:9">
      <c r="A110" s="4" t="s">
        <v>138</v>
      </c>
      <c r="B110" s="7">
        <v>37.5</v>
      </c>
      <c r="C110" s="5">
        <v>10427161</v>
      </c>
      <c r="D110" s="5">
        <v>483401</v>
      </c>
      <c r="E110" s="5">
        <v>235900</v>
      </c>
      <c r="F110" s="4">
        <v>2.2620000000000001E-2</v>
      </c>
      <c r="G110" s="4">
        <v>0.11312</v>
      </c>
      <c r="H110" s="4">
        <v>0.96909999999999996</v>
      </c>
      <c r="I110" s="4">
        <v>0.10962</v>
      </c>
    </row>
    <row r="111" spans="1:9">
      <c r="A111" s="4" t="s">
        <v>139</v>
      </c>
      <c r="B111" s="7">
        <v>42.5</v>
      </c>
      <c r="C111" s="5">
        <v>11475863</v>
      </c>
      <c r="D111" s="5">
        <v>104644</v>
      </c>
      <c r="E111" s="5">
        <v>51066</v>
      </c>
      <c r="F111" s="4">
        <v>4.45E-3</v>
      </c>
      <c r="G111" s="4">
        <v>2.2249999999999999E-2</v>
      </c>
      <c r="H111" s="4">
        <v>0.96</v>
      </c>
      <c r="I111" s="4">
        <v>2.1360000000000001E-2</v>
      </c>
    </row>
    <row r="112" spans="1:9">
      <c r="A112" s="4" t="s">
        <v>140</v>
      </c>
      <c r="B112" s="7">
        <v>47.5</v>
      </c>
      <c r="C112" s="5">
        <v>11372141</v>
      </c>
      <c r="D112" s="5">
        <v>6546</v>
      </c>
      <c r="E112" s="5">
        <v>3194</v>
      </c>
      <c r="F112" s="4">
        <v>2.7999999999999998E-4</v>
      </c>
      <c r="G112" s="4">
        <v>1.4E-3</v>
      </c>
      <c r="H112" s="4">
        <v>0.94620000000000004</v>
      </c>
      <c r="I112" s="4">
        <v>1.33E-3</v>
      </c>
    </row>
    <row r="113" spans="1:9">
      <c r="G113" s="4" t="s">
        <v>141</v>
      </c>
      <c r="I113" s="4" t="s">
        <v>142</v>
      </c>
    </row>
    <row r="115" spans="1:9">
      <c r="A115" s="8" t="s">
        <v>143</v>
      </c>
    </row>
    <row r="116" spans="1:9">
      <c r="A116" s="9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8"/>
  <sheetViews>
    <sheetView tabSelected="1" topLeftCell="A11" workbookViewId="0">
      <selection activeCell="B16" sqref="B16:H16"/>
    </sheetView>
  </sheetViews>
  <sheetFormatPr defaultRowHeight="12.45"/>
  <cols>
    <col min="2" max="2" width="14.69140625" customWidth="1"/>
    <col min="3" max="3" width="13.765625" customWidth="1"/>
    <col min="4" max="4" width="15.3828125" customWidth="1"/>
    <col min="5" max="5" width="16.765625" customWidth="1"/>
    <col min="6" max="6" width="17.61328125" customWidth="1"/>
    <col min="7" max="7" width="14.61328125" customWidth="1"/>
    <col min="8" max="8" width="13.84375" customWidth="1"/>
    <col min="9" max="9" width="21.84375" customWidth="1"/>
  </cols>
  <sheetData>
    <row r="2" spans="1:8" ht="14.15">
      <c r="A2" s="21" t="s">
        <v>0</v>
      </c>
    </row>
    <row r="3" spans="1:8" ht="84.9">
      <c r="A3" s="20" t="s">
        <v>7</v>
      </c>
      <c r="B3" s="20" t="s">
        <v>145</v>
      </c>
      <c r="C3" s="20" t="s">
        <v>146</v>
      </c>
      <c r="D3" s="20" t="s">
        <v>157</v>
      </c>
      <c r="E3" s="20" t="s">
        <v>158</v>
      </c>
    </row>
    <row r="4" spans="1:8">
      <c r="A4" t="s">
        <v>17</v>
      </c>
      <c r="B4">
        <v>10240239</v>
      </c>
      <c r="C4">
        <v>414406</v>
      </c>
    </row>
    <row r="5" spans="1:8">
      <c r="A5" t="s">
        <v>18</v>
      </c>
      <c r="B5">
        <v>10150079</v>
      </c>
      <c r="C5">
        <v>1040399</v>
      </c>
    </row>
    <row r="6" spans="1:8">
      <c r="A6" t="s">
        <v>19</v>
      </c>
      <c r="B6">
        <v>9767524</v>
      </c>
      <c r="C6">
        <v>1132293</v>
      </c>
    </row>
    <row r="7" spans="1:8">
      <c r="A7" t="s">
        <v>20</v>
      </c>
      <c r="B7">
        <v>9906365</v>
      </c>
      <c r="C7">
        <v>952013</v>
      </c>
    </row>
    <row r="8" spans="1:8">
      <c r="A8" t="s">
        <v>21</v>
      </c>
      <c r="B8">
        <v>10427161</v>
      </c>
      <c r="C8">
        <v>483401</v>
      </c>
    </row>
    <row r="9" spans="1:8">
      <c r="A9" t="s">
        <v>22</v>
      </c>
      <c r="B9">
        <v>11475863</v>
      </c>
      <c r="C9">
        <v>104644</v>
      </c>
    </row>
    <row r="10" spans="1:8">
      <c r="A10" t="s">
        <v>23</v>
      </c>
      <c r="B10">
        <v>11372141</v>
      </c>
      <c r="C10">
        <v>6546</v>
      </c>
    </row>
    <row r="11" spans="1:8">
      <c r="A11" t="s">
        <v>59</v>
      </c>
      <c r="B11">
        <f>SUM(B4:B10)</f>
        <v>73339372</v>
      </c>
      <c r="C11">
        <f>SUM(C4:C10)</f>
        <v>4133702</v>
      </c>
    </row>
    <row r="15" spans="1:8">
      <c r="A15" s="22" t="s">
        <v>159</v>
      </c>
    </row>
    <row r="16" spans="1:8">
      <c r="B16" s="18" t="s">
        <v>147</v>
      </c>
      <c r="C16" s="18"/>
      <c r="D16" s="18"/>
      <c r="E16" s="18"/>
      <c r="F16" s="18"/>
      <c r="G16" s="18"/>
      <c r="H16" s="18"/>
    </row>
    <row r="17" spans="1:9">
      <c r="A17" t="s">
        <v>148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44</v>
      </c>
    </row>
    <row r="18" spans="1:9">
      <c r="A18" t="s">
        <v>68</v>
      </c>
      <c r="B18">
        <v>62.3</v>
      </c>
      <c r="C18">
        <v>137.1</v>
      </c>
      <c r="D18">
        <v>124.1</v>
      </c>
      <c r="E18">
        <v>61.9</v>
      </c>
      <c r="F18">
        <v>25.5</v>
      </c>
      <c r="G18">
        <v>6.2</v>
      </c>
      <c r="H18">
        <v>0.4</v>
      </c>
      <c r="I18">
        <f>SUM(B18:H18)*5/1000</f>
        <v>2.0874999999999995</v>
      </c>
    </row>
    <row r="19" spans="1:9">
      <c r="A19" t="s">
        <v>69</v>
      </c>
      <c r="B19">
        <v>53</v>
      </c>
      <c r="C19">
        <v>111.8</v>
      </c>
      <c r="D19">
        <v>109.1</v>
      </c>
      <c r="E19">
        <v>112.4</v>
      </c>
      <c r="F19">
        <v>19.2</v>
      </c>
      <c r="G19">
        <v>4.2</v>
      </c>
      <c r="H19">
        <v>0.2</v>
      </c>
      <c r="I19">
        <f t="shared" ref="I19:I24" si="0">SUM(B19:H19)*5/1000</f>
        <v>2.0494999999999997</v>
      </c>
    </row>
    <row r="20" spans="1:9">
      <c r="A20" t="s">
        <v>70</v>
      </c>
      <c r="B20">
        <v>51.9</v>
      </c>
      <c r="C20">
        <v>110.7</v>
      </c>
      <c r="D20">
        <v>110.5</v>
      </c>
      <c r="E20">
        <v>63.9</v>
      </c>
      <c r="F20">
        <v>21.2</v>
      </c>
      <c r="G20">
        <v>3.9</v>
      </c>
      <c r="H20">
        <v>0.2</v>
      </c>
      <c r="I20">
        <f t="shared" si="0"/>
        <v>1.8114999999999997</v>
      </c>
    </row>
    <row r="21" spans="1:9">
      <c r="A21" t="s">
        <v>71</v>
      </c>
      <c r="B21">
        <v>52.4</v>
      </c>
      <c r="C21">
        <v>109.5</v>
      </c>
      <c r="D21">
        <v>112.9</v>
      </c>
      <c r="E21">
        <v>72.7</v>
      </c>
      <c r="F21">
        <v>26.5</v>
      </c>
      <c r="G21">
        <v>11.3</v>
      </c>
      <c r="H21">
        <v>0.2</v>
      </c>
      <c r="I21">
        <f t="shared" si="0"/>
        <v>1.9275</v>
      </c>
    </row>
    <row r="22" spans="1:9">
      <c r="A22" t="s">
        <v>72</v>
      </c>
      <c r="B22">
        <v>59.8</v>
      </c>
      <c r="C22">
        <v>113.2</v>
      </c>
      <c r="D22">
        <v>115.5</v>
      </c>
      <c r="E22">
        <v>80</v>
      </c>
      <c r="F22">
        <v>32.4</v>
      </c>
      <c r="G22">
        <v>5.9</v>
      </c>
      <c r="H22">
        <v>0.3</v>
      </c>
      <c r="I22">
        <f t="shared" si="0"/>
        <v>2.0354999999999999</v>
      </c>
    </row>
    <row r="23" spans="1:9">
      <c r="A23" t="s">
        <v>73</v>
      </c>
      <c r="B23">
        <v>52</v>
      </c>
      <c r="C23">
        <v>107.8</v>
      </c>
      <c r="D23">
        <v>109.4</v>
      </c>
      <c r="E23">
        <v>83.7</v>
      </c>
      <c r="F23">
        <v>35.9</v>
      </c>
      <c r="G23">
        <v>7.1</v>
      </c>
      <c r="H23">
        <v>0.4</v>
      </c>
      <c r="I23">
        <f t="shared" si="0"/>
        <v>1.9815</v>
      </c>
    </row>
    <row r="24" spans="1:9">
      <c r="A24" t="s">
        <v>74</v>
      </c>
      <c r="B24">
        <v>43.7</v>
      </c>
      <c r="C24">
        <v>104.8</v>
      </c>
      <c r="D24">
        <v>114.3</v>
      </c>
      <c r="E24">
        <v>93</v>
      </c>
      <c r="F24">
        <v>42.2</v>
      </c>
      <c r="G24">
        <v>8.4</v>
      </c>
      <c r="H24">
        <v>0.5</v>
      </c>
      <c r="I24">
        <f t="shared" si="0"/>
        <v>2.0345</v>
      </c>
    </row>
    <row r="29" spans="1:9">
      <c r="A29" s="23" t="s">
        <v>160</v>
      </c>
    </row>
    <row r="30" spans="1:9">
      <c r="A30" s="22" t="s">
        <v>105</v>
      </c>
      <c r="C30" s="19"/>
    </row>
    <row r="31" spans="1:9" ht="87">
      <c r="A31" s="17" t="s">
        <v>149</v>
      </c>
      <c r="B31" s="17" t="s">
        <v>117</v>
      </c>
      <c r="C31" s="17" t="s">
        <v>150</v>
      </c>
      <c r="D31" s="17" t="s">
        <v>151</v>
      </c>
      <c r="E31" s="17" t="s">
        <v>152</v>
      </c>
      <c r="F31" s="17" t="s">
        <v>153</v>
      </c>
      <c r="G31" s="17" t="s">
        <v>154</v>
      </c>
      <c r="H31" s="17" t="s">
        <v>155</v>
      </c>
      <c r="I31" s="17" t="s">
        <v>156</v>
      </c>
    </row>
    <row r="32" spans="1:9">
      <c r="A32" t="s">
        <v>17</v>
      </c>
      <c r="B32">
        <v>17.5</v>
      </c>
      <c r="C32">
        <v>10240239</v>
      </c>
      <c r="D32">
        <v>414406</v>
      </c>
      <c r="E32">
        <v>202230</v>
      </c>
      <c r="F32">
        <v>1.9740000000000001E-2</v>
      </c>
      <c r="G32">
        <v>9.8739999999999994E-2</v>
      </c>
      <c r="H32">
        <v>0.9889</v>
      </c>
      <c r="I32">
        <v>9.7650000000000001E-2</v>
      </c>
    </row>
    <row r="33" spans="1:9">
      <c r="A33" t="s">
        <v>18</v>
      </c>
      <c r="B33">
        <v>22.5</v>
      </c>
      <c r="C33">
        <v>10150079</v>
      </c>
      <c r="D33">
        <v>1040399</v>
      </c>
      <c r="E33">
        <v>507715</v>
      </c>
      <c r="F33">
        <v>5.0020000000000002E-2</v>
      </c>
      <c r="G33">
        <v>0.25009999999999999</v>
      </c>
      <c r="H33">
        <v>0.98480000000000001</v>
      </c>
      <c r="I33">
        <v>0.24631</v>
      </c>
    </row>
    <row r="34" spans="1:9">
      <c r="A34" t="s">
        <v>19</v>
      </c>
      <c r="B34">
        <v>27.5</v>
      </c>
      <c r="C34">
        <v>9767524</v>
      </c>
      <c r="D34">
        <v>1132293</v>
      </c>
      <c r="E34">
        <v>552559</v>
      </c>
      <c r="F34">
        <v>5.6570000000000002E-2</v>
      </c>
      <c r="G34">
        <v>0.28286</v>
      </c>
      <c r="H34">
        <v>0.98009999999999997</v>
      </c>
      <c r="I34">
        <v>0.27722999999999998</v>
      </c>
    </row>
    <row r="35" spans="1:9">
      <c r="A35" t="s">
        <v>20</v>
      </c>
      <c r="B35">
        <v>32.5</v>
      </c>
      <c r="C35">
        <v>9906365</v>
      </c>
      <c r="D35">
        <v>952013</v>
      </c>
      <c r="E35">
        <v>464582</v>
      </c>
      <c r="F35">
        <v>4.6899999999999997E-2</v>
      </c>
      <c r="G35">
        <v>0.23449</v>
      </c>
      <c r="H35">
        <v>0.97519999999999996</v>
      </c>
      <c r="I35">
        <v>0.22867999999999999</v>
      </c>
    </row>
    <row r="36" spans="1:9">
      <c r="A36" t="s">
        <v>21</v>
      </c>
      <c r="B36">
        <v>37.5</v>
      </c>
      <c r="C36">
        <v>10427161</v>
      </c>
      <c r="D36">
        <v>483401</v>
      </c>
      <c r="E36">
        <v>235900</v>
      </c>
      <c r="F36">
        <v>2.2620000000000001E-2</v>
      </c>
      <c r="G36">
        <v>0.11312</v>
      </c>
      <c r="H36">
        <v>0.96909999999999996</v>
      </c>
      <c r="I36">
        <v>0.10962</v>
      </c>
    </row>
    <row r="37" spans="1:9">
      <c r="A37" t="s">
        <v>22</v>
      </c>
      <c r="B37">
        <v>42.5</v>
      </c>
      <c r="C37">
        <v>11475863</v>
      </c>
      <c r="D37">
        <v>104644</v>
      </c>
      <c r="E37">
        <v>51066</v>
      </c>
      <c r="F37">
        <v>4.45E-3</v>
      </c>
      <c r="G37">
        <v>2.2249999999999999E-2</v>
      </c>
      <c r="H37">
        <v>0.96</v>
      </c>
      <c r="I37">
        <v>2.1360000000000001E-2</v>
      </c>
    </row>
    <row r="38" spans="1:9">
      <c r="A38" t="s">
        <v>23</v>
      </c>
      <c r="B38">
        <v>47.5</v>
      </c>
      <c r="C38">
        <v>11372141</v>
      </c>
      <c r="D38">
        <v>6546</v>
      </c>
      <c r="E38">
        <v>3194</v>
      </c>
      <c r="F38">
        <v>2.7999999999999998E-4</v>
      </c>
      <c r="G38">
        <v>1.4E-3</v>
      </c>
      <c r="H38">
        <v>0.94620000000000004</v>
      </c>
      <c r="I38">
        <v>1.33E-3</v>
      </c>
    </row>
  </sheetData>
  <mergeCells count="1">
    <mergeCell ref="B16:H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Shivakumar Jolad</cp:lastModifiedBy>
  <dcterms:created xsi:type="dcterms:W3CDTF">2022-01-18T00:53:15Z</dcterms:created>
  <dcterms:modified xsi:type="dcterms:W3CDTF">2023-03-22T13:25:13Z</dcterms:modified>
</cp:coreProperties>
</file>