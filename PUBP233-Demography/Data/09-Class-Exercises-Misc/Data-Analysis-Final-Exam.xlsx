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-IntroDemog_2024\Assessment-2024\"/>
    </mc:Choice>
  </mc:AlternateContent>
  <xr:revisionPtr revIDLastSave="0" documentId="13_ncr:1_{1B730C95-5206-4CC1-9541-47B03812834F}" xr6:coauthVersionLast="47" xr6:coauthVersionMax="47" xr10:uidLastSave="{00000000-0000-0000-0000-000000000000}"/>
  <bookViews>
    <workbookView xWindow="-103" yWindow="-103" windowWidth="22149" windowHeight="13200" xr2:uid="{C1C7DA62-3890-4816-B1E3-F1BC26455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48" i="1"/>
  <c r="F15" i="1"/>
  <c r="G15" i="1" s="1"/>
  <c r="H15" i="1" s="1"/>
  <c r="F16" i="1"/>
  <c r="F17" i="1"/>
  <c r="G17" i="1" s="1"/>
  <c r="H17" i="1" s="1"/>
  <c r="F18" i="1"/>
  <c r="F19" i="1"/>
  <c r="G19" i="1" s="1"/>
  <c r="H19" i="1" s="1"/>
  <c r="F20" i="1"/>
  <c r="F21" i="1"/>
  <c r="G21" i="1" s="1"/>
  <c r="H21" i="1" s="1"/>
  <c r="F22" i="1"/>
  <c r="G22" i="1" s="1"/>
  <c r="H22" i="1" s="1"/>
  <c r="F23" i="1"/>
  <c r="G23" i="1" s="1"/>
  <c r="H23" i="1" s="1"/>
  <c r="F24" i="1"/>
  <c r="F25" i="1"/>
  <c r="G25" i="1" s="1"/>
  <c r="H25" i="1" s="1"/>
  <c r="F14" i="1"/>
  <c r="E10" i="1"/>
  <c r="G24" i="1" l="1"/>
  <c r="H24" i="1" s="1"/>
  <c r="G16" i="1"/>
  <c r="H16" i="1" s="1"/>
  <c r="G18" i="1"/>
  <c r="H18" i="1" s="1"/>
  <c r="G20" i="1"/>
  <c r="H20" i="1" s="1"/>
</calcChain>
</file>

<file path=xl/sharedStrings.xml><?xml version="1.0" encoding="utf-8"?>
<sst xmlns="http://schemas.openxmlformats.org/spreadsheetml/2006/main" count="143" uniqueCount="83">
  <si>
    <t>Q1</t>
  </si>
  <si>
    <t>Census  Year</t>
  </si>
  <si>
    <t>Persons</t>
  </si>
  <si>
    <t xml:space="preserve">Variation since the preceding census </t>
  </si>
  <si>
    <t>Males</t>
  </si>
  <si>
    <t>Females</t>
  </si>
  <si>
    <t>Absolute</t>
  </si>
  <si>
    <t>Percentage</t>
  </si>
  <si>
    <t>Bangalore</t>
  </si>
  <si>
    <t>Bangalore Total</t>
  </si>
  <si>
    <t xml:space="preserve">Bangalore </t>
  </si>
  <si>
    <t>Total Population</t>
  </si>
  <si>
    <t>Same City</t>
  </si>
  <si>
    <t>Elsewhere in the District</t>
  </si>
  <si>
    <t>Other districts in the state</t>
  </si>
  <si>
    <t>Total Migrants</t>
  </si>
  <si>
    <t>6.5 million</t>
  </si>
  <si>
    <t>9.6 milliom</t>
  </si>
  <si>
    <t>Pop</t>
  </si>
  <si>
    <t>3 million</t>
  </si>
  <si>
    <t>Net Migrants</t>
  </si>
  <si>
    <t>In Migrants</t>
  </si>
  <si>
    <t>4 million</t>
  </si>
  <si>
    <t>Out migrants</t>
  </si>
  <si>
    <t>1 million</t>
  </si>
  <si>
    <t>Births</t>
  </si>
  <si>
    <t>Deaths</t>
  </si>
  <si>
    <t>1.15 million</t>
  </si>
  <si>
    <t>Pune U.A.</t>
  </si>
  <si>
    <t>Year</t>
  </si>
  <si>
    <t>City</t>
  </si>
  <si>
    <t>Population</t>
  </si>
  <si>
    <t>NA</t>
  </si>
  <si>
    <t>-</t>
  </si>
  <si>
    <t>Percentage Change</t>
  </si>
  <si>
    <t>Decadal Change (thousand approx)</t>
  </si>
  <si>
    <t>Population (-approx in thousands)</t>
  </si>
  <si>
    <t>Percentage Change (approx)</t>
  </si>
  <si>
    <t>Country A</t>
  </si>
  <si>
    <t>Country B</t>
  </si>
  <si>
    <t>Age - group</t>
  </si>
  <si>
    <t>Rate per 1,000 pyrs</t>
  </si>
  <si>
    <t>0-29</t>
  </si>
  <si>
    <t>30-59</t>
  </si>
  <si>
    <t>60+</t>
  </si>
  <si>
    <t>Total</t>
  </si>
  <si>
    <t>No. of deaths (thousands)</t>
  </si>
  <si>
    <t>Population (thosuands)</t>
  </si>
  <si>
    <t>Why is there a discrepancy ?</t>
  </si>
  <si>
    <t xml:space="preserve">Which country has lower mortality at all age groups? Which country has higher crude death rate? </t>
  </si>
  <si>
    <t>How do you standardize the rates to comapre? (give procedure)</t>
  </si>
  <si>
    <t>Standardize the rate and comapre</t>
  </si>
  <si>
    <t>Age</t>
  </si>
  <si>
    <t>l(x) Male</t>
  </si>
  <si>
    <t>e(x)  Male</t>
  </si>
  <si>
    <t>L(x,n) Male</t>
  </si>
  <si>
    <t>q(x,n)  Female</t>
  </si>
  <si>
    <t>l(x) Female</t>
  </si>
  <si>
    <t>e(x) Female</t>
  </si>
  <si>
    <t>L(x,n) Female</t>
  </si>
  <si>
    <t>0-1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</si>
  <si>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</si>
  <si>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</si>
  <si>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</si>
  <si>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</si>
  <si>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</si>
  <si>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</si>
  <si>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</si>
  <si>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</si>
  <si>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</si>
  <si>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</si>
  <si>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</si>
  <si>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</si>
  <si>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</si>
  <si>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</si>
  <si>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85+</t>
  </si>
  <si>
    <t>1-4</t>
  </si>
  <si>
    <t>5-9</t>
  </si>
  <si>
    <t>10-14</t>
  </si>
  <si>
    <t>Age Interval</t>
  </si>
  <si>
    <t>q(x,n) Male</t>
  </si>
  <si>
    <t>d(x,n) Male</t>
  </si>
  <si>
    <t>d(x,n)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</si>
</sst>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6" xfId="0" applyBorder="1"/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/>
    <xf numFmtId="0" fontId="4" fillId="0" borderId="0" xfId="0" applyFont="1" applyAlignment="1">
      <alignment horizontal="left"/>
    </xf>
    <xf numFmtId="0" fontId="5" fillId="0" borderId="0" xfId="1" applyFont="1"/>
    <xf numFmtId="0" fontId="6" fillId="0" borderId="0" xfId="1" applyFont="1" applyAlignment="1">
      <alignment horizontal="right"/>
    </xf>
    <xf numFmtId="0" fontId="3" fillId="0" borderId="0" xfId="1" applyAlignment="1">
      <alignment horizontal="right"/>
    </xf>
    <xf numFmtId="0" fontId="4" fillId="0" borderId="0" xfId="1" applyFont="1"/>
    <xf numFmtId="0" fontId="4" fillId="0" borderId="0" xfId="0" applyFont="1" applyAlignment="1">
      <alignment horizontal="right"/>
    </xf>
    <xf numFmtId="179" fontId="4" fillId="0" borderId="0" xfId="0" applyNumberFormat="1" applyFont="1" applyAlignment="1">
      <alignment horizontal="right"/>
    </xf>
    <xf numFmtId="0" fontId="0" fillId="0" borderId="6" xfId="0" applyBorder="1" applyAlignment="1">
      <alignment wrapText="1"/>
    </xf>
    <xf numFmtId="179" fontId="0" fillId="0" borderId="6" xfId="0" applyNumberFormat="1" applyBorder="1" applyAlignment="1">
      <alignment wrapText="1"/>
    </xf>
    <xf numFmtId="3" fontId="0" fillId="0" borderId="6" xfId="0" applyNumberFormat="1" applyBorder="1"/>
    <xf numFmtId="0" fontId="0" fillId="0" borderId="7" xfId="0" applyBorder="1"/>
    <xf numFmtId="3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3" fontId="0" fillId="0" borderId="13" xfId="0" applyNumberFormat="1" applyBorder="1"/>
    <xf numFmtId="0" fontId="0" fillId="0" borderId="13" xfId="0" applyBorder="1"/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/>
    <xf numFmtId="3" fontId="0" fillId="0" borderId="18" xfId="0" applyNumberFormat="1" applyBorder="1"/>
    <xf numFmtId="0" fontId="0" fillId="0" borderId="18" xfId="0" applyBorder="1"/>
    <xf numFmtId="0" fontId="0" fillId="0" borderId="19" xfId="0" applyBorder="1"/>
    <xf numFmtId="0" fontId="0" fillId="0" borderId="1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6" xfId="0" applyBorder="1" applyAlignment="1">
      <alignment wrapText="1"/>
    </xf>
    <xf numFmtId="0" fontId="7" fillId="0" borderId="20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 wrapText="1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 wrapText="1"/>
    </xf>
    <xf numFmtId="49" fontId="0" fillId="0" borderId="21" xfId="0" applyNumberForma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horizontal="right" vertical="center"/>
    </xf>
    <xf numFmtId="0" fontId="7" fillId="0" borderId="23" xfId="0" applyFont="1" applyBorder="1" applyAlignment="1">
      <alignment vertical="center" wrapText="1"/>
    </xf>
    <xf numFmtId="0" fontId="7" fillId="0" borderId="6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horizontal="right" vertical="center"/>
    </xf>
    <xf numFmtId="0" fontId="0" fillId="2" borderId="6" xfId="0" applyFill="1" applyBorder="1"/>
  </cellXfs>
  <cellStyles count="2">
    <cellStyle name="Normal" xfId="0" builtinId="0"/>
    <cellStyle name="Normal 2" xfId="1" xr:uid="{2D09F58D-5E4F-41D3-A4ED-CA45D00B6A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C63E-8893-470C-B9F6-1D4D1225E607}">
  <dimension ref="A1:N90"/>
  <sheetViews>
    <sheetView tabSelected="1" topLeftCell="A28" workbookViewId="0">
      <selection activeCell="C39" sqref="C39:C42"/>
    </sheetView>
  </sheetViews>
  <sheetFormatPr defaultRowHeight="14.6" x14ac:dyDescent="0.4"/>
  <cols>
    <col min="3" max="3" width="15.921875" customWidth="1"/>
    <col min="4" max="4" width="10.69140625" customWidth="1"/>
    <col min="5" max="5" width="13.3046875" customWidth="1"/>
    <col min="7" max="7" width="14.921875" customWidth="1"/>
    <col min="9" max="9" width="17.921875" customWidth="1"/>
    <col min="10" max="10" width="12" customWidth="1"/>
    <col min="12" max="12" width="14.15234375" customWidth="1"/>
    <col min="13" max="13" width="19.23046875" customWidth="1"/>
    <col min="14" max="14" width="16" customWidth="1"/>
  </cols>
  <sheetData>
    <row r="1" spans="1:14" ht="36.9" customHeight="1" x14ac:dyDescent="0.4">
      <c r="A1" s="8" t="s">
        <v>0</v>
      </c>
      <c r="B1" s="15" t="s">
        <v>8</v>
      </c>
      <c r="C1" s="9"/>
      <c r="D1" s="10" t="s">
        <v>3</v>
      </c>
      <c r="E1" s="10"/>
      <c r="F1" s="9"/>
      <c r="G1" s="9"/>
      <c r="J1" s="17">
        <v>2001</v>
      </c>
      <c r="K1" s="17">
        <v>2011</v>
      </c>
    </row>
    <row r="2" spans="1:14" ht="14.6" customHeight="1" x14ac:dyDescent="0.4">
      <c r="B2" s="11" t="s">
        <v>1</v>
      </c>
      <c r="C2" s="11" t="s">
        <v>2</v>
      </c>
      <c r="D2" s="12" t="s">
        <v>6</v>
      </c>
      <c r="E2" s="13" t="s">
        <v>7</v>
      </c>
      <c r="F2" s="14" t="s">
        <v>4</v>
      </c>
      <c r="G2" s="14" t="s">
        <v>5</v>
      </c>
      <c r="J2" s="17" t="s">
        <v>9</v>
      </c>
      <c r="K2" s="17" t="s">
        <v>10</v>
      </c>
    </row>
    <row r="3" spans="1:14" ht="14.6" customHeight="1" x14ac:dyDescent="0.4">
      <c r="B3" s="1">
        <v>2001</v>
      </c>
      <c r="C3" s="1">
        <v>6537124</v>
      </c>
      <c r="D3">
        <v>1697962</v>
      </c>
      <c r="E3">
        <v>35.087934646535906</v>
      </c>
      <c r="F3" s="3">
        <v>3426599</v>
      </c>
      <c r="G3" s="5">
        <v>3110525</v>
      </c>
      <c r="I3" s="20" t="s">
        <v>11</v>
      </c>
      <c r="J3" s="18">
        <v>8418638</v>
      </c>
      <c r="K3" s="19">
        <v>9621551</v>
      </c>
    </row>
    <row r="4" spans="1:14" x14ac:dyDescent="0.4">
      <c r="B4" s="2">
        <v>2011</v>
      </c>
      <c r="C4" s="2">
        <v>9621551</v>
      </c>
      <c r="D4">
        <v>3084427</v>
      </c>
      <c r="E4">
        <v>47.183241437671981</v>
      </c>
      <c r="F4" s="4">
        <v>5022661</v>
      </c>
      <c r="G4" s="6">
        <v>4598890</v>
      </c>
      <c r="I4" s="20" t="s">
        <v>12</v>
      </c>
      <c r="J4" s="18">
        <v>5407411</v>
      </c>
      <c r="K4" s="19">
        <v>4585368</v>
      </c>
    </row>
    <row r="5" spans="1:14" x14ac:dyDescent="0.4">
      <c r="I5" s="20" t="s">
        <v>13</v>
      </c>
      <c r="J5" s="18">
        <v>821002</v>
      </c>
      <c r="K5" s="19">
        <v>905802</v>
      </c>
    </row>
    <row r="6" spans="1:14" x14ac:dyDescent="0.4">
      <c r="I6" s="20" t="s">
        <v>14</v>
      </c>
      <c r="J6" s="18">
        <v>1250031</v>
      </c>
      <c r="K6" s="19">
        <v>2299149</v>
      </c>
    </row>
    <row r="7" spans="1:14" x14ac:dyDescent="0.4">
      <c r="C7" t="s">
        <v>18</v>
      </c>
      <c r="D7" t="s">
        <v>20</v>
      </c>
      <c r="E7" t="s">
        <v>21</v>
      </c>
      <c r="F7" t="s">
        <v>23</v>
      </c>
      <c r="G7" t="s">
        <v>25</v>
      </c>
      <c r="H7" t="s">
        <v>26</v>
      </c>
      <c r="I7" s="20" t="s">
        <v>15</v>
      </c>
      <c r="J7" s="18">
        <v>3011227</v>
      </c>
      <c r="K7" s="17">
        <v>5036183</v>
      </c>
    </row>
    <row r="8" spans="1:14" x14ac:dyDescent="0.4">
      <c r="B8">
        <v>2001</v>
      </c>
      <c r="C8" t="s">
        <v>16</v>
      </c>
      <c r="D8" t="s">
        <v>19</v>
      </c>
      <c r="E8" t="s">
        <v>22</v>
      </c>
      <c r="F8" t="s">
        <v>24</v>
      </c>
      <c r="G8" t="s">
        <v>27</v>
      </c>
      <c r="H8" t="s">
        <v>24</v>
      </c>
    </row>
    <row r="9" spans="1:14" x14ac:dyDescent="0.4">
      <c r="B9">
        <v>2011</v>
      </c>
      <c r="C9" t="s">
        <v>17</v>
      </c>
    </row>
    <row r="10" spans="1:14" x14ac:dyDescent="0.4">
      <c r="E10">
        <f>6.5+4-1+1.15-1</f>
        <v>9.65</v>
      </c>
    </row>
    <row r="13" spans="1:14" ht="72.900000000000006" x14ac:dyDescent="0.4">
      <c r="C13" t="s">
        <v>30</v>
      </c>
      <c r="D13" t="s">
        <v>29</v>
      </c>
      <c r="E13" t="s">
        <v>31</v>
      </c>
      <c r="F13" s="7" t="s">
        <v>36</v>
      </c>
      <c r="G13" t="s">
        <v>35</v>
      </c>
      <c r="H13" s="8" t="s">
        <v>34</v>
      </c>
      <c r="J13" s="23" t="s">
        <v>30</v>
      </c>
      <c r="K13" s="23" t="s">
        <v>29</v>
      </c>
      <c r="L13" s="23" t="s">
        <v>36</v>
      </c>
      <c r="M13" s="23" t="s">
        <v>35</v>
      </c>
      <c r="N13" s="23" t="s">
        <v>37</v>
      </c>
    </row>
    <row r="14" spans="1:14" x14ac:dyDescent="0.4">
      <c r="B14" s="16"/>
      <c r="C14" s="16" t="s">
        <v>28</v>
      </c>
      <c r="D14" s="21">
        <v>1901</v>
      </c>
      <c r="E14" s="21">
        <v>164117</v>
      </c>
      <c r="F14" s="21">
        <f>_xlfn.CEILING.MATH(E14/1000)</f>
        <v>165</v>
      </c>
      <c r="G14" t="s">
        <v>33</v>
      </c>
      <c r="H14" s="21" t="s">
        <v>32</v>
      </c>
      <c r="J14" s="23" t="s">
        <v>28</v>
      </c>
      <c r="K14" s="23">
        <v>1901</v>
      </c>
      <c r="L14" s="23">
        <v>165</v>
      </c>
      <c r="M14" s="23" t="s">
        <v>33</v>
      </c>
      <c r="N14" s="23" t="s">
        <v>32</v>
      </c>
    </row>
    <row r="15" spans="1:14" x14ac:dyDescent="0.4">
      <c r="B15" s="16"/>
      <c r="C15" s="16" t="s">
        <v>28</v>
      </c>
      <c r="D15" s="21">
        <v>1911</v>
      </c>
      <c r="E15" s="21">
        <v>172884</v>
      </c>
      <c r="F15" s="21">
        <f t="shared" ref="F15:F25" si="0">_xlfn.CEILING.MATH(E15/1000)</f>
        <v>173</v>
      </c>
      <c r="G15">
        <f>F15-F14</f>
        <v>8</v>
      </c>
      <c r="H15" s="22">
        <f>G15/F14*100</f>
        <v>4.8484848484848486</v>
      </c>
      <c r="J15" s="23" t="s">
        <v>28</v>
      </c>
      <c r="K15" s="23">
        <v>1911</v>
      </c>
      <c r="L15" s="23">
        <v>173</v>
      </c>
      <c r="M15" s="23">
        <v>8</v>
      </c>
      <c r="N15" s="24">
        <v>4.8484848484848486</v>
      </c>
    </row>
    <row r="16" spans="1:14" x14ac:dyDescent="0.4">
      <c r="B16" s="16"/>
      <c r="C16" s="16" t="s">
        <v>28</v>
      </c>
      <c r="D16" s="21">
        <v>1921</v>
      </c>
      <c r="E16" s="21">
        <v>198543</v>
      </c>
      <c r="F16" s="21">
        <f t="shared" si="0"/>
        <v>199</v>
      </c>
      <c r="G16">
        <f t="shared" ref="G16:G25" si="1">F16-F15</f>
        <v>26</v>
      </c>
      <c r="H16" s="22">
        <f t="shared" ref="H16:H25" si="2">G16/F15*100</f>
        <v>15.028901734104046</v>
      </c>
      <c r="J16" s="23" t="s">
        <v>28</v>
      </c>
      <c r="K16" s="23">
        <v>1921</v>
      </c>
      <c r="L16" s="23">
        <v>199</v>
      </c>
      <c r="M16" s="23">
        <v>26</v>
      </c>
      <c r="N16" s="24">
        <v>15.028901734104046</v>
      </c>
    </row>
    <row r="17" spans="2:14" x14ac:dyDescent="0.4">
      <c r="B17" s="16"/>
      <c r="C17" s="16" t="s">
        <v>28</v>
      </c>
      <c r="D17" s="21">
        <v>1931</v>
      </c>
      <c r="E17" s="21">
        <v>250187</v>
      </c>
      <c r="F17" s="21">
        <f t="shared" si="0"/>
        <v>251</v>
      </c>
      <c r="G17">
        <f t="shared" si="1"/>
        <v>52</v>
      </c>
      <c r="H17" s="22">
        <f t="shared" si="2"/>
        <v>26.13065326633166</v>
      </c>
      <c r="J17" s="23" t="s">
        <v>28</v>
      </c>
      <c r="K17" s="23">
        <v>1931</v>
      </c>
      <c r="L17" s="23">
        <v>251</v>
      </c>
      <c r="M17" s="23">
        <v>52</v>
      </c>
      <c r="N17" s="24"/>
    </row>
    <row r="18" spans="2:14" x14ac:dyDescent="0.4">
      <c r="B18" s="16"/>
      <c r="C18" s="16" t="s">
        <v>28</v>
      </c>
      <c r="D18" s="21">
        <v>1941</v>
      </c>
      <c r="E18" s="21">
        <v>324286</v>
      </c>
      <c r="F18" s="21">
        <f t="shared" si="0"/>
        <v>325</v>
      </c>
      <c r="G18">
        <f t="shared" si="1"/>
        <v>74</v>
      </c>
      <c r="H18" s="22">
        <f t="shared" si="2"/>
        <v>29.482071713147413</v>
      </c>
      <c r="J18" s="23" t="s">
        <v>28</v>
      </c>
      <c r="K18" s="23">
        <v>1941</v>
      </c>
      <c r="L18" s="23">
        <v>325</v>
      </c>
      <c r="M18" s="23">
        <v>74</v>
      </c>
      <c r="N18" s="24"/>
    </row>
    <row r="19" spans="2:14" x14ac:dyDescent="0.4">
      <c r="B19" s="16"/>
      <c r="C19" s="16" t="s">
        <v>28</v>
      </c>
      <c r="D19" s="21">
        <v>1951</v>
      </c>
      <c r="E19" s="21">
        <v>608634</v>
      </c>
      <c r="F19" s="21">
        <f t="shared" si="0"/>
        <v>609</v>
      </c>
      <c r="G19">
        <f t="shared" si="1"/>
        <v>284</v>
      </c>
      <c r="H19" s="22">
        <f t="shared" si="2"/>
        <v>87.384615384615387</v>
      </c>
      <c r="J19" s="23" t="s">
        <v>28</v>
      </c>
      <c r="K19" s="23">
        <v>1951</v>
      </c>
      <c r="L19" s="23">
        <v>609</v>
      </c>
      <c r="M19" s="23">
        <v>284</v>
      </c>
      <c r="N19" s="24"/>
    </row>
    <row r="20" spans="2:14" x14ac:dyDescent="0.4">
      <c r="B20" s="16"/>
      <c r="C20" s="16" t="s">
        <v>28</v>
      </c>
      <c r="D20" s="21">
        <v>1961</v>
      </c>
      <c r="E20" s="21">
        <v>790798</v>
      </c>
      <c r="F20" s="21">
        <f t="shared" si="0"/>
        <v>791</v>
      </c>
      <c r="G20">
        <f t="shared" si="1"/>
        <v>182</v>
      </c>
      <c r="H20" s="22">
        <f t="shared" si="2"/>
        <v>29.885057471264371</v>
      </c>
      <c r="J20" s="23" t="s">
        <v>28</v>
      </c>
      <c r="K20" s="23">
        <v>1961</v>
      </c>
      <c r="L20" s="23">
        <v>791</v>
      </c>
      <c r="M20" s="23">
        <v>182</v>
      </c>
      <c r="N20" s="24"/>
    </row>
    <row r="21" spans="2:14" x14ac:dyDescent="0.4">
      <c r="B21" s="16"/>
      <c r="C21" s="16" t="s">
        <v>28</v>
      </c>
      <c r="D21" s="21">
        <v>1971</v>
      </c>
      <c r="E21" s="21">
        <v>1135034</v>
      </c>
      <c r="F21" s="21">
        <f t="shared" si="0"/>
        <v>1136</v>
      </c>
      <c r="G21">
        <f t="shared" si="1"/>
        <v>345</v>
      </c>
      <c r="H21" s="22">
        <f t="shared" si="2"/>
        <v>43.615676359039192</v>
      </c>
      <c r="J21" s="23" t="s">
        <v>28</v>
      </c>
      <c r="K21" s="23">
        <v>1971</v>
      </c>
      <c r="L21" s="23">
        <v>1136</v>
      </c>
      <c r="M21" s="23">
        <v>345</v>
      </c>
      <c r="N21" s="24"/>
    </row>
    <row r="22" spans="2:14" x14ac:dyDescent="0.4">
      <c r="B22" s="16"/>
      <c r="C22" s="16" t="s">
        <v>28</v>
      </c>
      <c r="D22" s="21">
        <v>1981</v>
      </c>
      <c r="E22" s="21">
        <v>1722186</v>
      </c>
      <c r="F22" s="21">
        <f t="shared" si="0"/>
        <v>1723</v>
      </c>
      <c r="G22">
        <f t="shared" si="1"/>
        <v>587</v>
      </c>
      <c r="H22" s="22">
        <f t="shared" si="2"/>
        <v>51.672535211267601</v>
      </c>
      <c r="J22" s="23" t="s">
        <v>28</v>
      </c>
      <c r="K22" s="23">
        <v>1981</v>
      </c>
      <c r="L22" s="23">
        <v>1723</v>
      </c>
      <c r="M22" s="23">
        <v>587</v>
      </c>
      <c r="N22" s="24"/>
    </row>
    <row r="23" spans="2:14" x14ac:dyDescent="0.4">
      <c r="B23" s="16"/>
      <c r="C23" s="16" t="s">
        <v>28</v>
      </c>
      <c r="D23" s="21">
        <v>1991</v>
      </c>
      <c r="E23" s="21">
        <v>2493987</v>
      </c>
      <c r="F23" s="21">
        <f t="shared" si="0"/>
        <v>2494</v>
      </c>
      <c r="G23">
        <f t="shared" si="1"/>
        <v>771</v>
      </c>
      <c r="H23" s="22">
        <f t="shared" si="2"/>
        <v>44.747533372025536</v>
      </c>
      <c r="J23" s="23" t="s">
        <v>28</v>
      </c>
      <c r="K23" s="23">
        <v>1991</v>
      </c>
      <c r="L23" s="23">
        <v>2494</v>
      </c>
      <c r="M23" s="23">
        <v>771</v>
      </c>
      <c r="N23" s="24"/>
    </row>
    <row r="24" spans="2:14" x14ac:dyDescent="0.4">
      <c r="B24" s="16"/>
      <c r="C24" s="16" t="s">
        <v>28</v>
      </c>
      <c r="D24" s="21">
        <v>2001</v>
      </c>
      <c r="E24" s="21">
        <v>3768612</v>
      </c>
      <c r="F24" s="21">
        <f t="shared" si="0"/>
        <v>3769</v>
      </c>
      <c r="G24">
        <f t="shared" si="1"/>
        <v>1275</v>
      </c>
      <c r="H24" s="22">
        <f t="shared" si="2"/>
        <v>51.122694466720134</v>
      </c>
      <c r="J24" s="23" t="s">
        <v>28</v>
      </c>
      <c r="K24" s="23">
        <v>2001</v>
      </c>
      <c r="L24" s="23">
        <v>3769</v>
      </c>
      <c r="M24" s="23">
        <v>1275</v>
      </c>
      <c r="N24" s="24"/>
    </row>
    <row r="25" spans="2:14" x14ac:dyDescent="0.4">
      <c r="B25" s="16"/>
      <c r="C25" s="16" t="s">
        <v>28</v>
      </c>
      <c r="D25" s="21">
        <v>2011</v>
      </c>
      <c r="E25" s="21">
        <v>5057709</v>
      </c>
      <c r="F25" s="21">
        <f t="shared" si="0"/>
        <v>5058</v>
      </c>
      <c r="G25">
        <f t="shared" si="1"/>
        <v>1289</v>
      </c>
      <c r="H25" s="22">
        <f t="shared" si="2"/>
        <v>34.200053064473337</v>
      </c>
      <c r="J25" s="23" t="s">
        <v>28</v>
      </c>
      <c r="K25" s="23">
        <v>2011</v>
      </c>
      <c r="L25" s="23">
        <v>5058</v>
      </c>
      <c r="M25" s="23">
        <v>1289</v>
      </c>
      <c r="N25" s="24"/>
    </row>
    <row r="30" spans="2:14" ht="15" thickBot="1" x14ac:dyDescent="0.45"/>
    <row r="31" spans="2:14" x14ac:dyDescent="0.4">
      <c r="C31" s="26"/>
      <c r="D31" s="36" t="s">
        <v>38</v>
      </c>
      <c r="E31" s="36"/>
      <c r="F31" s="36"/>
      <c r="G31" s="36" t="s">
        <v>39</v>
      </c>
      <c r="H31" s="36"/>
      <c r="I31" s="37"/>
    </row>
    <row r="32" spans="2:14" ht="58.75" thickBot="1" x14ac:dyDescent="0.45">
      <c r="C32" s="42" t="s">
        <v>40</v>
      </c>
      <c r="D32" s="43" t="s">
        <v>46</v>
      </c>
      <c r="E32" s="43" t="s">
        <v>47</v>
      </c>
      <c r="F32" s="43" t="s">
        <v>41</v>
      </c>
      <c r="G32" s="43" t="s">
        <v>46</v>
      </c>
      <c r="H32" s="43" t="s">
        <v>47</v>
      </c>
      <c r="I32" s="44" t="s">
        <v>41</v>
      </c>
    </row>
    <row r="33" spans="2:13" x14ac:dyDescent="0.4">
      <c r="C33" s="26" t="s">
        <v>42</v>
      </c>
      <c r="D33" s="27">
        <v>7</v>
      </c>
      <c r="E33" s="27">
        <v>6000</v>
      </c>
      <c r="F33" s="28">
        <v>1.2</v>
      </c>
      <c r="G33" s="27">
        <v>6.3</v>
      </c>
      <c r="H33" s="27">
        <v>1500</v>
      </c>
      <c r="I33" s="29">
        <v>4.2</v>
      </c>
    </row>
    <row r="34" spans="2:13" x14ac:dyDescent="0.4">
      <c r="C34" s="30" t="s">
        <v>43</v>
      </c>
      <c r="D34" s="25">
        <v>20</v>
      </c>
      <c r="E34" s="25">
        <v>5500</v>
      </c>
      <c r="F34" s="9">
        <v>3.6</v>
      </c>
      <c r="G34" s="25">
        <v>3</v>
      </c>
      <c r="H34" s="25">
        <v>550</v>
      </c>
      <c r="I34" s="31">
        <v>5.5</v>
      </c>
    </row>
    <row r="35" spans="2:13" ht="15" thickBot="1" x14ac:dyDescent="0.45">
      <c r="C35" s="32" t="s">
        <v>44</v>
      </c>
      <c r="D35" s="33">
        <v>120</v>
      </c>
      <c r="E35" s="33">
        <v>2500</v>
      </c>
      <c r="F35" s="34">
        <v>48</v>
      </c>
      <c r="G35" s="33">
        <v>6</v>
      </c>
      <c r="H35" s="33">
        <v>120</v>
      </c>
      <c r="I35" s="35">
        <v>50</v>
      </c>
    </row>
    <row r="36" spans="2:13" ht="15" thickBot="1" x14ac:dyDescent="0.45">
      <c r="C36" s="38" t="s">
        <v>45</v>
      </c>
      <c r="D36" s="39">
        <v>147</v>
      </c>
      <c r="E36" s="39">
        <v>14000</v>
      </c>
      <c r="F36" s="40">
        <v>10.5</v>
      </c>
      <c r="G36" s="39">
        <v>15.3</v>
      </c>
      <c r="H36" s="39">
        <v>2170</v>
      </c>
      <c r="I36" s="41">
        <v>7</v>
      </c>
    </row>
    <row r="39" spans="2:13" x14ac:dyDescent="0.4">
      <c r="B39">
        <v>1</v>
      </c>
      <c r="C39" t="s">
        <v>49</v>
      </c>
    </row>
    <row r="40" spans="2:13" x14ac:dyDescent="0.4">
      <c r="B40">
        <v>2</v>
      </c>
      <c r="C40" t="s">
        <v>48</v>
      </c>
    </row>
    <row r="41" spans="2:13" x14ac:dyDescent="0.4">
      <c r="B41">
        <v>3</v>
      </c>
      <c r="C41" t="s">
        <v>50</v>
      </c>
    </row>
    <row r="42" spans="2:13" x14ac:dyDescent="0.4">
      <c r="B42">
        <v>4</v>
      </c>
      <c r="C42" t="s">
        <v>51</v>
      </c>
    </row>
    <row r="46" spans="2:13" ht="15" thickBot="1" x14ac:dyDescent="0.45"/>
    <row r="47" spans="2:13" x14ac:dyDescent="0.4">
      <c r="B47" s="45" t="s">
        <v>79</v>
      </c>
      <c r="C47" s="46" t="s">
        <v>52</v>
      </c>
      <c r="D47" s="45" t="s">
        <v>80</v>
      </c>
      <c r="E47" s="53" t="s">
        <v>53</v>
      </c>
      <c r="F47" s="56" t="s">
        <v>81</v>
      </c>
      <c r="G47" s="57" t="s">
        <v>56</v>
      </c>
      <c r="H47" s="57" t="s">
        <v>57</v>
      </c>
      <c r="I47" s="56" t="s">
        <v>82</v>
      </c>
      <c r="J47" s="51" t="s">
        <v>55</v>
      </c>
      <c r="K47" s="49" t="s">
        <v>59</v>
      </c>
      <c r="L47" s="49" t="s">
        <v>54</v>
      </c>
      <c r="M47" s="49" t="s">
        <v>58</v>
      </c>
    </row>
    <row r="48" spans="2:13" ht="15" thickBot="1" x14ac:dyDescent="0.45">
      <c r="B48" s="52" t="s">
        <v>60</v>
      </c>
      <c r="C48" s="47">
        <v>0</v>
      </c>
      <c r="D48" s="47">
        <v>2.1760000000000002E-2</v>
      </c>
      <c r="E48" s="54">
        <v>100000</v>
      </c>
      <c r="F48" s="9">
        <f>E48-E49</f>
        <v>2176</v>
      </c>
      <c r="G48" s="58">
        <v>2.2610000000000002E-2</v>
      </c>
      <c r="H48" s="58">
        <v>100000</v>
      </c>
      <c r="I48" s="9">
        <f>H48-H49</f>
        <v>2261</v>
      </c>
      <c r="J48" s="55"/>
      <c r="K48" s="50"/>
      <c r="L48" s="50"/>
      <c r="M48" s="50"/>
    </row>
    <row r="49" spans="2:13" ht="15" thickBot="1" x14ac:dyDescent="0.45">
      <c r="B49" s="52" t="s">
        <v>76</v>
      </c>
      <c r="C49" s="47">
        <v>1</v>
      </c>
      <c r="D49" s="47">
        <v>2.9099999999999998E-3</v>
      </c>
      <c r="E49" s="54">
        <v>97824</v>
      </c>
      <c r="F49" s="9">
        <f t="shared" ref="F49:F67" si="3">E49-E50</f>
        <v>285</v>
      </c>
      <c r="G49" s="58">
        <v>3.1900000000000001E-3</v>
      </c>
      <c r="H49" s="58">
        <v>97739</v>
      </c>
      <c r="I49" s="9">
        <f t="shared" ref="I49:I67" si="4">H49-H50</f>
        <v>312</v>
      </c>
      <c r="J49" s="48">
        <v>98053</v>
      </c>
      <c r="K49" s="47">
        <v>98005</v>
      </c>
      <c r="L49" s="47">
        <v>69.86</v>
      </c>
      <c r="M49" s="47">
        <v>73.55</v>
      </c>
    </row>
    <row r="50" spans="2:13" ht="15" thickBot="1" x14ac:dyDescent="0.45">
      <c r="B50" s="52" t="s">
        <v>77</v>
      </c>
      <c r="C50" s="47">
        <v>5</v>
      </c>
      <c r="D50" s="47">
        <v>2.3999999999999998E-3</v>
      </c>
      <c r="E50" s="54">
        <v>97539</v>
      </c>
      <c r="F50" s="9">
        <f t="shared" si="3"/>
        <v>234</v>
      </c>
      <c r="G50" s="58">
        <v>2.15E-3</v>
      </c>
      <c r="H50" s="58">
        <v>97427</v>
      </c>
      <c r="I50" s="9">
        <f t="shared" si="4"/>
        <v>209</v>
      </c>
      <c r="J50" s="48">
        <v>390609</v>
      </c>
      <c r="K50" s="47">
        <v>390172</v>
      </c>
      <c r="L50" s="47">
        <v>70.41</v>
      </c>
      <c r="M50" s="47">
        <v>74.25</v>
      </c>
    </row>
    <row r="51" spans="2:13" ht="15" thickBot="1" x14ac:dyDescent="0.45">
      <c r="B51" s="52" t="s">
        <v>78</v>
      </c>
      <c r="C51" s="47">
        <v>10</v>
      </c>
      <c r="D51" s="47">
        <v>2.2000000000000001E-3</v>
      </c>
      <c r="E51" s="54">
        <v>97305</v>
      </c>
      <c r="F51" s="9">
        <f t="shared" si="3"/>
        <v>214</v>
      </c>
      <c r="G51" s="58">
        <v>2E-3</v>
      </c>
      <c r="H51" s="58">
        <v>97218</v>
      </c>
      <c r="I51" s="9">
        <f t="shared" si="4"/>
        <v>195</v>
      </c>
      <c r="J51" s="48">
        <v>487111</v>
      </c>
      <c r="K51" s="47">
        <v>486611</v>
      </c>
      <c r="L51" s="47">
        <v>66.61</v>
      </c>
      <c r="M51" s="47">
        <v>70.489999999999995</v>
      </c>
    </row>
    <row r="52" spans="2:13" ht="15" thickBot="1" x14ac:dyDescent="0.45">
      <c r="B52" s="52" t="s">
        <v>61</v>
      </c>
      <c r="C52" s="47">
        <v>15</v>
      </c>
      <c r="D52" s="47">
        <v>3.8400000000000001E-3</v>
      </c>
      <c r="E52" s="54">
        <v>97091</v>
      </c>
      <c r="F52" s="9">
        <f t="shared" si="3"/>
        <v>373</v>
      </c>
      <c r="G52" s="58">
        <v>5.0400000000000002E-3</v>
      </c>
      <c r="H52" s="58">
        <v>97023</v>
      </c>
      <c r="I52" s="9">
        <f t="shared" si="4"/>
        <v>488</v>
      </c>
      <c r="J52" s="48">
        <v>485992</v>
      </c>
      <c r="K52" s="47">
        <v>485603</v>
      </c>
      <c r="L52" s="47">
        <v>61.76</v>
      </c>
      <c r="M52" s="47">
        <v>65.63</v>
      </c>
    </row>
    <row r="53" spans="2:13" ht="15" thickBot="1" x14ac:dyDescent="0.45">
      <c r="B53" s="52" t="s">
        <v>62</v>
      </c>
      <c r="C53" s="47">
        <v>20</v>
      </c>
      <c r="D53" s="47">
        <v>7.5700000000000003E-3</v>
      </c>
      <c r="E53" s="54">
        <v>96718</v>
      </c>
      <c r="F53" s="9">
        <f t="shared" si="3"/>
        <v>732</v>
      </c>
      <c r="G53" s="58">
        <v>6.13E-3</v>
      </c>
      <c r="H53" s="58">
        <v>96535</v>
      </c>
      <c r="I53" s="9">
        <f t="shared" si="4"/>
        <v>592</v>
      </c>
      <c r="J53" s="48">
        <v>484620</v>
      </c>
      <c r="K53" s="47">
        <v>484008</v>
      </c>
      <c r="L53" s="47">
        <v>56.9</v>
      </c>
      <c r="M53" s="47">
        <v>60.76</v>
      </c>
    </row>
    <row r="54" spans="2:13" ht="15" thickBot="1" x14ac:dyDescent="0.45">
      <c r="B54" s="52" t="s">
        <v>63</v>
      </c>
      <c r="C54" s="47">
        <v>25</v>
      </c>
      <c r="D54" s="47">
        <v>1.06E-2</v>
      </c>
      <c r="E54" s="54">
        <v>95986</v>
      </c>
      <c r="F54" s="9">
        <f t="shared" si="3"/>
        <v>1017</v>
      </c>
      <c r="G54" s="58">
        <v>6.1799999999999997E-3</v>
      </c>
      <c r="H54" s="58">
        <v>95943</v>
      </c>
      <c r="I54" s="9">
        <f t="shared" si="4"/>
        <v>593</v>
      </c>
      <c r="J54" s="48">
        <v>481913</v>
      </c>
      <c r="K54" s="47">
        <v>481217</v>
      </c>
      <c r="L54" s="47">
        <v>52.1</v>
      </c>
      <c r="M54" s="47">
        <v>56.05</v>
      </c>
    </row>
    <row r="55" spans="2:13" ht="15" thickBot="1" x14ac:dyDescent="0.45">
      <c r="B55" s="52" t="s">
        <v>64</v>
      </c>
      <c r="C55" s="47">
        <v>30</v>
      </c>
      <c r="D55" s="47">
        <v>1.371E-2</v>
      </c>
      <c r="E55" s="54">
        <v>94969</v>
      </c>
      <c r="F55" s="9">
        <f t="shared" si="3"/>
        <v>1302</v>
      </c>
      <c r="G55" s="58">
        <v>6.4799999999999996E-3</v>
      </c>
      <c r="H55" s="58">
        <v>95350</v>
      </c>
      <c r="I55" s="9">
        <f t="shared" si="4"/>
        <v>618</v>
      </c>
      <c r="J55" s="48">
        <v>477508</v>
      </c>
      <c r="K55" s="47">
        <v>478236</v>
      </c>
      <c r="L55" s="47">
        <v>47.48</v>
      </c>
      <c r="M55" s="47">
        <v>51.38</v>
      </c>
    </row>
    <row r="56" spans="2:13" ht="15" thickBot="1" x14ac:dyDescent="0.45">
      <c r="B56" s="52" t="s">
        <v>65</v>
      </c>
      <c r="C56" s="47">
        <v>35</v>
      </c>
      <c r="D56" s="47">
        <v>1.8679999999999999E-2</v>
      </c>
      <c r="E56" s="54">
        <v>93667</v>
      </c>
      <c r="F56" s="9">
        <f t="shared" si="3"/>
        <v>1750</v>
      </c>
      <c r="G56" s="58">
        <v>8.7100000000000007E-3</v>
      </c>
      <c r="H56" s="58">
        <v>94732</v>
      </c>
      <c r="I56" s="9">
        <f t="shared" si="4"/>
        <v>826</v>
      </c>
      <c r="J56" s="48">
        <v>471736</v>
      </c>
      <c r="K56" s="47">
        <v>475246</v>
      </c>
      <c r="L56" s="47">
        <v>42.96</v>
      </c>
      <c r="M56" s="47">
        <v>46.69</v>
      </c>
    </row>
    <row r="57" spans="2:13" ht="15" thickBot="1" x14ac:dyDescent="0.45">
      <c r="B57" s="52" t="s">
        <v>66</v>
      </c>
      <c r="C57" s="47">
        <v>40</v>
      </c>
      <c r="D57" s="47">
        <v>2.2499999999999999E-2</v>
      </c>
      <c r="E57" s="54">
        <v>91917</v>
      </c>
      <c r="F57" s="9">
        <f t="shared" si="3"/>
        <v>2069</v>
      </c>
      <c r="G57" s="58">
        <v>1.1780000000000001E-2</v>
      </c>
      <c r="H57" s="58">
        <v>93906</v>
      </c>
      <c r="I57" s="9">
        <f t="shared" si="4"/>
        <v>1106</v>
      </c>
      <c r="J57" s="48">
        <v>464127</v>
      </c>
      <c r="K57" s="47">
        <v>471696</v>
      </c>
      <c r="L57" s="47">
        <v>38.520000000000003</v>
      </c>
      <c r="M57" s="47">
        <v>41.97</v>
      </c>
    </row>
    <row r="58" spans="2:13" ht="15" thickBot="1" x14ac:dyDescent="0.45">
      <c r="B58" s="52" t="s">
        <v>67</v>
      </c>
      <c r="C58" s="47">
        <v>45</v>
      </c>
      <c r="D58" s="47">
        <v>3.1910000000000001E-2</v>
      </c>
      <c r="E58" s="54">
        <v>89848</v>
      </c>
      <c r="F58" s="9">
        <f t="shared" si="3"/>
        <v>2867</v>
      </c>
      <c r="G58" s="58">
        <v>1.7260000000000001E-2</v>
      </c>
      <c r="H58" s="58">
        <v>92800</v>
      </c>
      <c r="I58" s="9">
        <f t="shared" si="4"/>
        <v>1602</v>
      </c>
      <c r="J58" s="48">
        <v>454627</v>
      </c>
      <c r="K58" s="47">
        <v>466918</v>
      </c>
      <c r="L58" s="47">
        <v>34.21</v>
      </c>
      <c r="M58" s="47">
        <v>37.32</v>
      </c>
    </row>
    <row r="59" spans="2:13" ht="15" thickBot="1" x14ac:dyDescent="0.45">
      <c r="B59" s="52" t="s">
        <v>68</v>
      </c>
      <c r="C59" s="47">
        <v>50</v>
      </c>
      <c r="D59" s="47">
        <v>4.2849999999999999E-2</v>
      </c>
      <c r="E59" s="54">
        <v>86981</v>
      </c>
      <c r="F59" s="9">
        <f t="shared" si="3"/>
        <v>3727</v>
      </c>
      <c r="G59" s="58">
        <v>2.2749999999999999E-2</v>
      </c>
      <c r="H59" s="58">
        <v>91198</v>
      </c>
      <c r="I59" s="9">
        <f t="shared" si="4"/>
        <v>2075</v>
      </c>
      <c r="J59" s="48">
        <v>442426</v>
      </c>
      <c r="K59" s="47">
        <v>460205</v>
      </c>
      <c r="L59" s="47">
        <v>29.93</v>
      </c>
      <c r="M59" s="47">
        <v>32.729999999999997</v>
      </c>
    </row>
    <row r="60" spans="2:13" ht="15" thickBot="1" x14ac:dyDescent="0.45">
      <c r="B60" s="52" t="s">
        <v>69</v>
      </c>
      <c r="C60" s="47">
        <v>55</v>
      </c>
      <c r="D60" s="47">
        <v>5.8299999999999998E-2</v>
      </c>
      <c r="E60" s="54">
        <v>83254</v>
      </c>
      <c r="F60" s="9">
        <f t="shared" si="3"/>
        <v>4853</v>
      </c>
      <c r="G60" s="58">
        <v>3.6380000000000003E-2</v>
      </c>
      <c r="H60" s="58">
        <v>89123</v>
      </c>
      <c r="I60" s="9">
        <f t="shared" si="4"/>
        <v>3242</v>
      </c>
      <c r="J60" s="48">
        <v>425998</v>
      </c>
      <c r="K60" s="47">
        <v>451110</v>
      </c>
      <c r="L60" s="47">
        <v>25.83</v>
      </c>
      <c r="M60" s="47">
        <v>28.26</v>
      </c>
    </row>
    <row r="61" spans="2:13" ht="15" thickBot="1" x14ac:dyDescent="0.45">
      <c r="B61" s="52" t="s">
        <v>70</v>
      </c>
      <c r="C61" s="47">
        <v>60</v>
      </c>
      <c r="D61" s="47">
        <v>8.9929999999999996E-2</v>
      </c>
      <c r="E61" s="54">
        <v>78401</v>
      </c>
      <c r="F61" s="9">
        <f t="shared" si="3"/>
        <v>7051</v>
      </c>
      <c r="G61" s="58">
        <v>6.5479999999999997E-2</v>
      </c>
      <c r="H61" s="58">
        <v>85881</v>
      </c>
      <c r="I61" s="9">
        <f t="shared" si="4"/>
        <v>5623</v>
      </c>
      <c r="J61" s="48">
        <v>404787</v>
      </c>
      <c r="K61" s="47">
        <v>438187</v>
      </c>
      <c r="L61" s="47">
        <v>21.87</v>
      </c>
      <c r="M61" s="47">
        <v>23.86</v>
      </c>
    </row>
    <row r="62" spans="2:13" ht="15" thickBot="1" x14ac:dyDescent="0.45">
      <c r="B62" s="52" t="s">
        <v>71</v>
      </c>
      <c r="C62" s="47">
        <v>65</v>
      </c>
      <c r="D62" s="47">
        <v>0.13836999999999999</v>
      </c>
      <c r="E62" s="54">
        <v>71350</v>
      </c>
      <c r="F62" s="9">
        <f t="shared" si="3"/>
        <v>9873</v>
      </c>
      <c r="G62" s="58">
        <v>0.10962</v>
      </c>
      <c r="H62" s="58">
        <v>80258</v>
      </c>
      <c r="I62" s="9">
        <f t="shared" si="4"/>
        <v>8799</v>
      </c>
      <c r="J62" s="48">
        <v>375429</v>
      </c>
      <c r="K62" s="47">
        <v>416521</v>
      </c>
      <c r="L62" s="47">
        <v>18.07</v>
      </c>
      <c r="M62" s="47">
        <v>19.66</v>
      </c>
    </row>
    <row r="63" spans="2:13" ht="15" thickBot="1" x14ac:dyDescent="0.45">
      <c r="B63" s="52" t="s">
        <v>72</v>
      </c>
      <c r="C63" s="47">
        <v>70</v>
      </c>
      <c r="D63" s="47">
        <v>0.20871999999999999</v>
      </c>
      <c r="E63" s="54">
        <v>61477</v>
      </c>
      <c r="F63" s="9">
        <f t="shared" si="3"/>
        <v>12832</v>
      </c>
      <c r="G63" s="58">
        <v>0.16933000000000001</v>
      </c>
      <c r="H63" s="58">
        <v>71459</v>
      </c>
      <c r="I63" s="9">
        <f t="shared" si="4"/>
        <v>12100</v>
      </c>
      <c r="J63" s="48">
        <v>333319</v>
      </c>
      <c r="K63" s="47">
        <v>380708</v>
      </c>
      <c r="L63" s="47">
        <v>14.59</v>
      </c>
      <c r="M63" s="47">
        <v>15.84</v>
      </c>
    </row>
    <row r="64" spans="2:13" ht="15" thickBot="1" x14ac:dyDescent="0.45">
      <c r="B64" s="52" t="s">
        <v>73</v>
      </c>
      <c r="C64" s="47">
        <v>75</v>
      </c>
      <c r="D64" s="47">
        <v>0.316</v>
      </c>
      <c r="E64" s="54">
        <v>48645</v>
      </c>
      <c r="F64" s="9">
        <f t="shared" si="3"/>
        <v>15372</v>
      </c>
      <c r="G64" s="58">
        <v>0.26445999999999997</v>
      </c>
      <c r="H64" s="58">
        <v>59359</v>
      </c>
      <c r="I64" s="9">
        <f t="shared" si="4"/>
        <v>15698</v>
      </c>
      <c r="J64" s="48">
        <v>276546</v>
      </c>
      <c r="K64" s="47">
        <v>328548</v>
      </c>
      <c r="L64" s="47">
        <v>11.51</v>
      </c>
      <c r="M64" s="47">
        <v>12.47</v>
      </c>
    </row>
    <row r="65" spans="2:13" ht="15" thickBot="1" x14ac:dyDescent="0.45">
      <c r="B65" s="52" t="s">
        <v>74</v>
      </c>
      <c r="C65" s="47">
        <v>80</v>
      </c>
      <c r="D65" s="47">
        <v>0.43725999999999998</v>
      </c>
      <c r="E65" s="54">
        <v>33273</v>
      </c>
      <c r="F65" s="9">
        <f t="shared" si="3"/>
        <v>14549</v>
      </c>
      <c r="G65" s="58">
        <v>0.41187000000000001</v>
      </c>
      <c r="H65" s="58">
        <v>43661</v>
      </c>
      <c r="I65" s="9">
        <f t="shared" si="4"/>
        <v>17982</v>
      </c>
      <c r="J65" s="48">
        <v>205236</v>
      </c>
      <c r="K65" s="47">
        <v>258954</v>
      </c>
      <c r="L65" s="47">
        <v>8.86</v>
      </c>
      <c r="M65" s="47">
        <v>9.4700000000000006</v>
      </c>
    </row>
    <row r="66" spans="2:13" ht="15" thickBot="1" x14ac:dyDescent="0.45">
      <c r="B66" s="52" t="s">
        <v>75</v>
      </c>
      <c r="C66" s="47">
        <v>85</v>
      </c>
      <c r="D66" s="47">
        <v>1</v>
      </c>
      <c r="E66" s="54">
        <v>18724</v>
      </c>
      <c r="F66" s="9">
        <f t="shared" si="3"/>
        <v>18724</v>
      </c>
      <c r="G66" s="58">
        <v>1</v>
      </c>
      <c r="H66" s="58">
        <v>25679</v>
      </c>
      <c r="I66" s="9">
        <f t="shared" si="4"/>
        <v>25679</v>
      </c>
      <c r="J66" s="48">
        <v>129268</v>
      </c>
      <c r="K66" s="47">
        <v>173342</v>
      </c>
      <c r="L66" s="47">
        <v>6.79</v>
      </c>
      <c r="M66" s="47">
        <v>6.95</v>
      </c>
    </row>
    <row r="67" spans="2:13" ht="15" thickBot="1" x14ac:dyDescent="0.45">
      <c r="F67" s="9"/>
      <c r="I67" s="9"/>
      <c r="J67" s="48">
        <v>96517</v>
      </c>
      <c r="K67" s="47">
        <v>130112</v>
      </c>
      <c r="L67" s="47">
        <v>5.15</v>
      </c>
      <c r="M67" s="47">
        <v>5.07</v>
      </c>
    </row>
    <row r="71" spans="2:13" x14ac:dyDescent="0.4">
      <c r="B71" s="9" t="s">
        <v>79</v>
      </c>
      <c r="C71" s="9" t="s">
        <v>52</v>
      </c>
      <c r="D71" s="9" t="s">
        <v>80</v>
      </c>
      <c r="E71" s="9" t="s">
        <v>53</v>
      </c>
      <c r="F71" s="9" t="s">
        <v>81</v>
      </c>
      <c r="G71" s="9" t="s">
        <v>56</v>
      </c>
      <c r="H71" s="9" t="s">
        <v>57</v>
      </c>
      <c r="I71" s="9" t="s">
        <v>82</v>
      </c>
    </row>
    <row r="72" spans="2:13" x14ac:dyDescent="0.4">
      <c r="B72" s="9" t="s">
        <v>60</v>
      </c>
      <c r="C72" s="9">
        <v>0</v>
      </c>
      <c r="D72" s="9">
        <v>2.1760000000000002E-2</v>
      </c>
      <c r="E72" s="9">
        <v>100000</v>
      </c>
      <c r="F72" s="9">
        <v>2176</v>
      </c>
      <c r="G72" s="9">
        <v>2.2610000000000002E-2</v>
      </c>
      <c r="H72" s="9">
        <v>100000</v>
      </c>
      <c r="I72" s="9">
        <v>2261</v>
      </c>
    </row>
    <row r="73" spans="2:13" x14ac:dyDescent="0.4">
      <c r="B73" s="9" t="s">
        <v>76</v>
      </c>
      <c r="C73" s="9">
        <v>1</v>
      </c>
      <c r="D73" s="9">
        <v>2.9099999999999998E-3</v>
      </c>
      <c r="E73" s="9">
        <v>97824</v>
      </c>
      <c r="F73" s="59"/>
      <c r="G73" s="9">
        <v>3.1900000000000001E-3</v>
      </c>
      <c r="H73" s="9">
        <v>97739</v>
      </c>
      <c r="I73" s="9">
        <v>312</v>
      </c>
    </row>
    <row r="74" spans="2:13" x14ac:dyDescent="0.4">
      <c r="B74" s="9" t="s">
        <v>77</v>
      </c>
      <c r="C74" s="9">
        <v>5</v>
      </c>
      <c r="D74" s="9">
        <v>2.3999999999999998E-3</v>
      </c>
      <c r="E74" s="9">
        <v>97539</v>
      </c>
      <c r="F74" s="59"/>
      <c r="G74" s="9">
        <v>2.15E-3</v>
      </c>
      <c r="H74" s="9">
        <v>97427</v>
      </c>
      <c r="I74" s="9">
        <v>209</v>
      </c>
    </row>
    <row r="75" spans="2:13" x14ac:dyDescent="0.4">
      <c r="B75" s="9" t="s">
        <v>78</v>
      </c>
      <c r="C75" s="9">
        <v>10</v>
      </c>
      <c r="D75" s="9">
        <v>2.2000000000000001E-3</v>
      </c>
      <c r="E75" s="9">
        <v>97305</v>
      </c>
      <c r="F75" s="9">
        <v>214</v>
      </c>
      <c r="G75" s="59"/>
      <c r="H75" s="9">
        <v>97218</v>
      </c>
      <c r="I75" s="9">
        <v>195</v>
      </c>
    </row>
    <row r="76" spans="2:13" x14ac:dyDescent="0.4">
      <c r="B76" s="9" t="s">
        <v>61</v>
      </c>
      <c r="C76" s="9">
        <v>15</v>
      </c>
      <c r="D76" s="9">
        <v>3.8400000000000001E-3</v>
      </c>
      <c r="E76" s="9">
        <v>97091</v>
      </c>
      <c r="F76" s="9">
        <v>373</v>
      </c>
      <c r="G76" s="59"/>
      <c r="H76" s="9">
        <v>97023</v>
      </c>
      <c r="I76" s="9">
        <v>488</v>
      </c>
    </row>
    <row r="77" spans="2:13" x14ac:dyDescent="0.4">
      <c r="B77" s="9" t="s">
        <v>62</v>
      </c>
      <c r="C77" s="9">
        <v>20</v>
      </c>
      <c r="D77" s="9">
        <v>7.5700000000000003E-3</v>
      </c>
      <c r="E77" s="9">
        <v>96718</v>
      </c>
      <c r="F77" s="9">
        <v>732</v>
      </c>
      <c r="G77" s="9">
        <v>6.13E-3</v>
      </c>
      <c r="H77" s="9">
        <v>96535</v>
      </c>
      <c r="I77" s="9">
        <v>592</v>
      </c>
    </row>
    <row r="78" spans="2:13" x14ac:dyDescent="0.4">
      <c r="B78" s="9" t="s">
        <v>63</v>
      </c>
      <c r="C78" s="9">
        <v>25</v>
      </c>
      <c r="D78" s="9">
        <v>1.06E-2</v>
      </c>
      <c r="E78" s="9">
        <v>95986</v>
      </c>
      <c r="F78" s="9">
        <v>1017</v>
      </c>
      <c r="G78" s="9">
        <v>6.1799999999999997E-3</v>
      </c>
      <c r="H78" s="9">
        <v>95943</v>
      </c>
      <c r="I78" s="9">
        <v>593</v>
      </c>
    </row>
    <row r="79" spans="2:13" x14ac:dyDescent="0.4">
      <c r="B79" s="9" t="s">
        <v>64</v>
      </c>
      <c r="C79" s="9">
        <v>30</v>
      </c>
      <c r="D79" s="9">
        <v>1.371E-2</v>
      </c>
      <c r="E79" s="9">
        <v>94969</v>
      </c>
      <c r="F79" s="9">
        <v>1302</v>
      </c>
      <c r="G79" s="9">
        <v>6.4799999999999996E-3</v>
      </c>
      <c r="H79" s="9">
        <v>95350</v>
      </c>
      <c r="I79" s="9">
        <v>618</v>
      </c>
    </row>
    <row r="80" spans="2:13" x14ac:dyDescent="0.4">
      <c r="B80" s="9" t="s">
        <v>65</v>
      </c>
      <c r="C80" s="9">
        <v>35</v>
      </c>
      <c r="D80" s="9">
        <v>1.8679999999999999E-2</v>
      </c>
      <c r="E80" s="9">
        <v>93667</v>
      </c>
      <c r="F80" s="9">
        <v>1750</v>
      </c>
      <c r="G80" s="9">
        <v>8.7100000000000007E-3</v>
      </c>
      <c r="H80" s="9">
        <v>94732</v>
      </c>
      <c r="I80" s="9">
        <v>826</v>
      </c>
    </row>
    <row r="81" spans="2:9" x14ac:dyDescent="0.4">
      <c r="B81" t="s">
        <v>66</v>
      </c>
      <c r="C81">
        <v>40</v>
      </c>
      <c r="D81">
        <v>2.2499999999999999E-2</v>
      </c>
      <c r="E81">
        <v>91917</v>
      </c>
      <c r="F81">
        <v>2069</v>
      </c>
      <c r="G81">
        <v>1.1780000000000001E-2</v>
      </c>
      <c r="H81">
        <v>93906</v>
      </c>
      <c r="I81">
        <v>1106</v>
      </c>
    </row>
    <row r="82" spans="2:9" x14ac:dyDescent="0.4">
      <c r="B82" t="s">
        <v>67</v>
      </c>
      <c r="C82">
        <v>45</v>
      </c>
      <c r="D82">
        <v>3.1910000000000001E-2</v>
      </c>
      <c r="E82">
        <v>89848</v>
      </c>
      <c r="F82">
        <v>2867</v>
      </c>
      <c r="G82">
        <v>1.7260000000000001E-2</v>
      </c>
      <c r="H82">
        <v>92800</v>
      </c>
      <c r="I82">
        <v>1602</v>
      </c>
    </row>
    <row r="83" spans="2:9" x14ac:dyDescent="0.4">
      <c r="B83" t="s">
        <v>68</v>
      </c>
      <c r="C83">
        <v>50</v>
      </c>
      <c r="D83">
        <v>4.2849999999999999E-2</v>
      </c>
      <c r="E83">
        <v>86981</v>
      </c>
      <c r="F83">
        <v>3727</v>
      </c>
      <c r="G83">
        <v>2.2749999999999999E-2</v>
      </c>
      <c r="H83">
        <v>91198</v>
      </c>
      <c r="I83">
        <v>2075</v>
      </c>
    </row>
    <row r="84" spans="2:9" x14ac:dyDescent="0.4">
      <c r="B84" t="s">
        <v>69</v>
      </c>
      <c r="C84">
        <v>55</v>
      </c>
      <c r="D84">
        <v>5.8299999999999998E-2</v>
      </c>
      <c r="E84">
        <v>83254</v>
      </c>
      <c r="F84">
        <v>4853</v>
      </c>
      <c r="G84">
        <v>3.6380000000000003E-2</v>
      </c>
      <c r="H84">
        <v>89123</v>
      </c>
      <c r="I84">
        <v>3242</v>
      </c>
    </row>
    <row r="85" spans="2:9" x14ac:dyDescent="0.4">
      <c r="B85" t="s">
        <v>70</v>
      </c>
      <c r="C85">
        <v>60</v>
      </c>
      <c r="D85">
        <v>8.9929999999999996E-2</v>
      </c>
      <c r="E85">
        <v>78401</v>
      </c>
      <c r="F85">
        <v>7051</v>
      </c>
      <c r="G85">
        <v>6.5479999999999997E-2</v>
      </c>
      <c r="H85">
        <v>85881</v>
      </c>
      <c r="I85">
        <v>5623</v>
      </c>
    </row>
    <row r="86" spans="2:9" x14ac:dyDescent="0.4">
      <c r="B86" t="s">
        <v>71</v>
      </c>
      <c r="C86">
        <v>65</v>
      </c>
      <c r="D86">
        <v>0.13836999999999999</v>
      </c>
      <c r="E86">
        <v>71350</v>
      </c>
      <c r="F86">
        <v>9873</v>
      </c>
      <c r="G86">
        <v>0.10962</v>
      </c>
      <c r="H86">
        <v>80258</v>
      </c>
      <c r="I86">
        <v>8799</v>
      </c>
    </row>
    <row r="87" spans="2:9" x14ac:dyDescent="0.4">
      <c r="B87" t="s">
        <v>72</v>
      </c>
      <c r="C87">
        <v>70</v>
      </c>
      <c r="D87">
        <v>0.20871999999999999</v>
      </c>
      <c r="E87">
        <v>61477</v>
      </c>
      <c r="F87">
        <v>12832</v>
      </c>
      <c r="G87">
        <v>0.16933000000000001</v>
      </c>
      <c r="H87">
        <v>71459</v>
      </c>
      <c r="I87">
        <v>12100</v>
      </c>
    </row>
    <row r="88" spans="2:9" x14ac:dyDescent="0.4">
      <c r="B88" t="s">
        <v>73</v>
      </c>
      <c r="C88">
        <v>75</v>
      </c>
      <c r="D88">
        <v>0.316</v>
      </c>
      <c r="E88">
        <v>48645</v>
      </c>
      <c r="F88">
        <v>15372</v>
      </c>
      <c r="G88">
        <v>0.26445999999999997</v>
      </c>
      <c r="H88">
        <v>59359</v>
      </c>
      <c r="I88">
        <v>15698</v>
      </c>
    </row>
    <row r="89" spans="2:9" x14ac:dyDescent="0.4">
      <c r="B89" t="s">
        <v>74</v>
      </c>
      <c r="C89">
        <v>80</v>
      </c>
      <c r="D89">
        <v>0.43725999999999998</v>
      </c>
      <c r="E89">
        <v>33273</v>
      </c>
      <c r="F89">
        <v>14549</v>
      </c>
      <c r="G89">
        <v>0.41187000000000001</v>
      </c>
      <c r="H89">
        <v>43661</v>
      </c>
      <c r="I89">
        <v>17982</v>
      </c>
    </row>
    <row r="90" spans="2:9" x14ac:dyDescent="0.4">
      <c r="B90" t="s">
        <v>75</v>
      </c>
      <c r="C90">
        <v>85</v>
      </c>
      <c r="D90">
        <v>1</v>
      </c>
      <c r="E90">
        <v>18724</v>
      </c>
      <c r="F90">
        <v>18724</v>
      </c>
      <c r="G90">
        <v>1</v>
      </c>
      <c r="H90">
        <v>25679</v>
      </c>
      <c r="I90">
        <v>25679</v>
      </c>
    </row>
  </sheetData>
  <mergeCells count="7">
    <mergeCell ref="M47:M48"/>
    <mergeCell ref="K47:K48"/>
    <mergeCell ref="D31:F31"/>
    <mergeCell ref="G31:I31"/>
    <mergeCell ref="L47:L48"/>
    <mergeCell ref="J47:J48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2024-04-16T05:08:09Z</dcterms:created>
  <dcterms:modified xsi:type="dcterms:W3CDTF">2024-04-17T12:10:14Z</dcterms:modified>
</cp:coreProperties>
</file>