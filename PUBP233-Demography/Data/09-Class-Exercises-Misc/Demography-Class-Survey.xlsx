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UG2_PUBP233\PUBP233_Demog_2023\DataSheets\"/>
    </mc:Choice>
  </mc:AlternateContent>
  <xr:revisionPtr revIDLastSave="0" documentId="13_ncr:1_{F611A0B7-9E9A-4D70-9E41-8F704F3A1374}" xr6:coauthVersionLast="47" xr6:coauthVersionMax="47" xr10:uidLastSave="{00000000-0000-0000-0000-000000000000}"/>
  <bookViews>
    <workbookView xWindow="-103" yWindow="-103" windowWidth="22149" windowHeight="13200" activeTab="5" xr2:uid="{2F59678F-9F0F-4DF7-BB45-503820519A8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Consolidated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77" i="6" l="1" a="1"/>
  <c r="G177" i="6" s="1"/>
  <c r="H177" i="6" a="1"/>
  <c r="H177" i="6" s="1"/>
  <c r="I177" i="6" a="1"/>
  <c r="I177" i="6" s="1"/>
  <c r="J177" i="6" a="1"/>
  <c r="J177" i="6" s="1"/>
  <c r="K177" i="6" a="1"/>
  <c r="K177" i="6" s="1"/>
  <c r="L177" i="6" a="1"/>
  <c r="L177" i="6" s="1"/>
  <c r="F177" i="6" a="1"/>
  <c r="F177" i="6" s="1"/>
  <c r="E177" i="6" a="1"/>
  <c r="E177" i="6" s="1"/>
  <c r="D177" i="6" a="1"/>
  <c r="D177" i="6" s="1"/>
  <c r="C12" i="6"/>
  <c r="C13" i="6"/>
  <c r="C20" i="6"/>
  <c r="C21" i="6"/>
  <c r="C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C32" i="6" s="1"/>
  <c r="C4" i="6" l="1"/>
  <c r="C29" i="6"/>
  <c r="C5" i="6"/>
  <c r="C28" i="6"/>
  <c r="C27" i="6"/>
  <c r="C19" i="6"/>
  <c r="C11" i="6"/>
  <c r="C3" i="6"/>
  <c r="C18" i="6"/>
  <c r="C10" i="6"/>
  <c r="C25" i="6"/>
  <c r="C9" i="6"/>
  <c r="C24" i="6"/>
  <c r="C16" i="6"/>
  <c r="C31" i="6"/>
  <c r="C23" i="6"/>
  <c r="C15" i="6"/>
  <c r="C7" i="6"/>
  <c r="C26" i="6"/>
  <c r="B33" i="6"/>
  <c r="C17" i="6"/>
  <c r="C8" i="6"/>
  <c r="C30" i="6"/>
  <c r="C22" i="6"/>
  <c r="C14" i="6"/>
  <c r="C6" i="6"/>
  <c r="B34" i="6" l="1"/>
  <c r="C33" i="6"/>
  <c r="B35" i="6" l="1"/>
  <c r="C34" i="6"/>
  <c r="B36" i="6" l="1"/>
  <c r="C35" i="6"/>
  <c r="C36" i="6" l="1"/>
  <c r="B37" i="6"/>
  <c r="C37" i="6" l="1"/>
  <c r="B38" i="6"/>
  <c r="C38" i="6" l="1"/>
  <c r="B39" i="6"/>
  <c r="B40" i="6" l="1"/>
  <c r="C39" i="6"/>
  <c r="B41" i="6" l="1"/>
  <c r="C40" i="6"/>
  <c r="B42" i="6" l="1"/>
  <c r="C41" i="6"/>
  <c r="B43" i="6" l="1"/>
  <c r="C42" i="6"/>
  <c r="B44" i="6" l="1"/>
  <c r="C43" i="6"/>
  <c r="C44" i="6" l="1"/>
  <c r="B45" i="6"/>
  <c r="B46" i="6" l="1"/>
  <c r="C45" i="6"/>
  <c r="B47" i="6" l="1"/>
  <c r="C46" i="6"/>
  <c r="C47" i="6" l="1"/>
  <c r="B48" i="6"/>
  <c r="B49" i="6" l="1"/>
  <c r="C48" i="6"/>
  <c r="B50" i="6" l="1"/>
  <c r="C49" i="6"/>
  <c r="C50" i="6" l="1"/>
  <c r="B51" i="6"/>
  <c r="B52" i="6" l="1"/>
  <c r="C51" i="6"/>
  <c r="B53" i="6" l="1"/>
  <c r="C52" i="6"/>
  <c r="B54" i="6" l="1"/>
  <c r="C53" i="6"/>
  <c r="C54" i="6" l="1"/>
  <c r="B55" i="6"/>
  <c r="B56" i="6" l="1"/>
  <c r="C55" i="6"/>
  <c r="B57" i="6" l="1"/>
  <c r="C56" i="6"/>
  <c r="B58" i="6" l="1"/>
  <c r="C57" i="6"/>
  <c r="B59" i="6" l="1"/>
  <c r="C58" i="6"/>
  <c r="B60" i="6" l="1"/>
  <c r="C59" i="6"/>
  <c r="C60" i="6" l="1"/>
  <c r="B61" i="6"/>
  <c r="B62" i="6" l="1"/>
  <c r="C61" i="6"/>
  <c r="C62" i="6" l="1"/>
  <c r="B63" i="6"/>
  <c r="C63" i="6" l="1"/>
  <c r="B64" i="6"/>
  <c r="B65" i="6" l="1"/>
  <c r="C64" i="6"/>
  <c r="B66" i="6" l="1"/>
  <c r="C65" i="6"/>
  <c r="B67" i="6" l="1"/>
  <c r="C66" i="6"/>
  <c r="B68" i="6" l="1"/>
  <c r="C67" i="6"/>
  <c r="B69" i="6" l="1"/>
  <c r="C68" i="6"/>
  <c r="C69" i="6" l="1"/>
  <c r="B70" i="6"/>
  <c r="B71" i="6" l="1"/>
  <c r="C70" i="6"/>
  <c r="C71" i="6" l="1"/>
  <c r="B72" i="6"/>
  <c r="B73" i="6" l="1"/>
  <c r="C72" i="6"/>
  <c r="B74" i="6" l="1"/>
  <c r="C73" i="6"/>
  <c r="B75" i="6" l="1"/>
  <c r="C74" i="6"/>
  <c r="C75" i="6" l="1"/>
  <c r="B76" i="6"/>
  <c r="C76" i="6" l="1"/>
  <c r="B77" i="6"/>
  <c r="B78" i="6" l="1"/>
  <c r="C77" i="6"/>
  <c r="C78" i="6" l="1"/>
  <c r="B79" i="6"/>
  <c r="C79" i="6" l="1"/>
  <c r="B80" i="6"/>
  <c r="B81" i="6" l="1"/>
  <c r="C80" i="6"/>
  <c r="B82" i="6" l="1"/>
  <c r="C81" i="6"/>
  <c r="B83" i="6" l="1"/>
  <c r="C82" i="6"/>
  <c r="C83" i="6" l="1"/>
  <c r="B84" i="6"/>
  <c r="B85" i="6" l="1"/>
  <c r="C84" i="6"/>
  <c r="C85" i="6" l="1"/>
  <c r="B86" i="6"/>
  <c r="C86" i="6" l="1"/>
  <c r="B87" i="6"/>
  <c r="B88" i="6" l="1"/>
  <c r="C87" i="6"/>
  <c r="B89" i="6" l="1"/>
  <c r="C88" i="6"/>
  <c r="C89" i="6" l="1"/>
  <c r="B90" i="6"/>
  <c r="B91" i="6" l="1"/>
  <c r="C90" i="6"/>
  <c r="B92" i="6" l="1"/>
  <c r="C91" i="6"/>
  <c r="B93" i="6" l="1"/>
  <c r="C92" i="6"/>
  <c r="C93" i="6" l="1"/>
  <c r="B94" i="6"/>
  <c r="C94" i="6" l="1"/>
  <c r="B95" i="6"/>
  <c r="C95" i="6" l="1"/>
  <c r="B96" i="6"/>
  <c r="B97" i="6" l="1"/>
  <c r="C96" i="6"/>
  <c r="B98" i="6" l="1"/>
  <c r="C97" i="6"/>
  <c r="B99" i="6" l="1"/>
  <c r="C98" i="6"/>
  <c r="B100" i="6" l="1"/>
  <c r="C99" i="6"/>
  <c r="C100" i="6" l="1"/>
  <c r="B101" i="6"/>
  <c r="C101" i="6" l="1"/>
  <c r="B102" i="6"/>
  <c r="C102" i="6" l="1"/>
  <c r="B103" i="6"/>
  <c r="C103" i="6" l="1"/>
  <c r="B104" i="6"/>
  <c r="B105" i="6" l="1"/>
  <c r="C104" i="6"/>
  <c r="B106" i="6" l="1"/>
  <c r="C105" i="6"/>
  <c r="B107" i="6" l="1"/>
  <c r="C106" i="6"/>
  <c r="B108" i="6" l="1"/>
  <c r="C107" i="6"/>
  <c r="C108" i="6" l="1"/>
  <c r="B109" i="6"/>
  <c r="C109" i="6" l="1"/>
  <c r="B110" i="6"/>
  <c r="C110" i="6" l="1"/>
  <c r="B111" i="6"/>
  <c r="C111" i="6" l="1"/>
  <c r="B112" i="6"/>
  <c r="B113" i="6" l="1"/>
  <c r="C112" i="6"/>
  <c r="C113" i="6" l="1"/>
  <c r="B114" i="6"/>
  <c r="C114" i="6" l="1"/>
  <c r="B115" i="6"/>
  <c r="C115" i="6" l="1"/>
  <c r="B116" i="6"/>
  <c r="C116" i="6" l="1"/>
  <c r="B117" i="6"/>
  <c r="C117" i="6" l="1"/>
  <c r="B118" i="6"/>
  <c r="C118" i="6" l="1"/>
  <c r="B119" i="6"/>
  <c r="B120" i="6" l="1"/>
  <c r="C119" i="6"/>
  <c r="B121" i="6" l="1"/>
  <c r="C120" i="6"/>
  <c r="B122" i="6" l="1"/>
  <c r="C121" i="6"/>
  <c r="C122" i="6" l="1"/>
  <c r="B123" i="6"/>
  <c r="B124" i="6" l="1"/>
  <c r="C123" i="6"/>
  <c r="C124" i="6" l="1"/>
  <c r="B125" i="6"/>
  <c r="C125" i="6" l="1"/>
  <c r="B126" i="6"/>
  <c r="C126" i="6" l="1"/>
  <c r="B127" i="6"/>
  <c r="C127" i="6" l="1"/>
  <c r="B128" i="6"/>
  <c r="B129" i="6" l="1"/>
  <c r="C128" i="6"/>
  <c r="B130" i="6" l="1"/>
  <c r="C129" i="6"/>
  <c r="C130" i="6" l="1"/>
  <c r="B131" i="6"/>
  <c r="B132" i="6" l="1"/>
  <c r="C131" i="6"/>
  <c r="B133" i="6" l="1"/>
  <c r="C132" i="6"/>
  <c r="C133" i="6" l="1"/>
  <c r="B134" i="6"/>
  <c r="C134" i="6" l="1"/>
  <c r="B135" i="6"/>
  <c r="C135" i="6" l="1"/>
  <c r="B136" i="6"/>
  <c r="C136" i="6" l="1"/>
  <c r="B137" i="6"/>
  <c r="B138" i="6" l="1"/>
  <c r="C137" i="6"/>
  <c r="B139" i="6" l="1"/>
  <c r="C138" i="6"/>
  <c r="B140" i="6" l="1"/>
  <c r="C139" i="6"/>
  <c r="C140" i="6" l="1"/>
  <c r="B141" i="6"/>
  <c r="B142" i="6" l="1"/>
  <c r="C141" i="6"/>
  <c r="B143" i="6" l="1"/>
  <c r="C142" i="6"/>
  <c r="B144" i="6" l="1"/>
  <c r="C143" i="6"/>
  <c r="C144" i="6" l="1"/>
  <c r="B145" i="6"/>
  <c r="C145" i="6" l="1"/>
  <c r="B146" i="6"/>
  <c r="B147" i="6" l="1"/>
  <c r="C146" i="6"/>
  <c r="C147" i="6" l="1"/>
  <c r="B148" i="6"/>
  <c r="C148" i="6" l="1"/>
  <c r="B149" i="6"/>
  <c r="C149" i="6" l="1"/>
  <c r="B150" i="6"/>
  <c r="C150" i="6" l="1"/>
  <c r="B151" i="6"/>
  <c r="C151" i="6" l="1"/>
  <c r="B152" i="6"/>
  <c r="B153" i="6" l="1"/>
  <c r="C152" i="6"/>
  <c r="B154" i="6" l="1"/>
  <c r="C153" i="6"/>
  <c r="B155" i="6" l="1"/>
  <c r="C154" i="6"/>
  <c r="C155" i="6" l="1"/>
  <c r="B156" i="6"/>
  <c r="B157" i="6" l="1"/>
  <c r="C156" i="6"/>
  <c r="C157" i="6" l="1"/>
  <c r="B158" i="6"/>
  <c r="C158" i="6" l="1"/>
  <c r="B159" i="6"/>
  <c r="C159" i="6" l="1"/>
  <c r="B160" i="6"/>
  <c r="B161" i="6" l="1"/>
  <c r="C160" i="6"/>
  <c r="C161" i="6" l="1"/>
  <c r="B162" i="6"/>
  <c r="B163" i="6" l="1"/>
  <c r="C162" i="6"/>
  <c r="B164" i="6" l="1"/>
  <c r="C163" i="6"/>
  <c r="C164" i="6" l="1"/>
  <c r="B165" i="6"/>
  <c r="C165" i="6" l="1"/>
  <c r="B166" i="6"/>
  <c r="C166" i="6" l="1"/>
  <c r="B167" i="6"/>
  <c r="B168" i="6" l="1"/>
  <c r="C167" i="6"/>
  <c r="B169" i="6" l="1"/>
  <c r="C168" i="6"/>
  <c r="C169" i="6" l="1"/>
  <c r="B170" i="6"/>
  <c r="C170" i="6" l="1"/>
  <c r="B171" i="6"/>
  <c r="B172" i="6" l="1"/>
  <c r="C171" i="6"/>
  <c r="C172" i="6" l="1"/>
  <c r="B173" i="6"/>
  <c r="C173" i="6" l="1"/>
  <c r="B174" i="6"/>
  <c r="C174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<sst xmlns="http://schemas.openxmlformats.org/spreadsheetml/2006/main" count="3889" uniqueCount="667">
  <si>
    <t>Sl. no</t>
  </si>
  <si>
    <t>Household ID</t>
  </si>
  <si>
    <t>Individual ID</t>
  </si>
  <si>
    <t>Interviewer Name</t>
  </si>
  <si>
    <t>Name</t>
  </si>
  <si>
    <t>Sex</t>
  </si>
  <si>
    <t>Age</t>
  </si>
  <si>
    <t>Marital Status</t>
  </si>
  <si>
    <t>Current Place of Residence</t>
  </si>
  <si>
    <t>Place of Birth</t>
  </si>
  <si>
    <t>Mother Tongue</t>
  </si>
  <si>
    <t>Highest Level of Education</t>
  </si>
  <si>
    <t>Current Working Status</t>
  </si>
  <si>
    <t>Monthly Income</t>
  </si>
  <si>
    <t>If you are working, how satisfied are you with your current job?</t>
  </si>
  <si>
    <t>How would you feel if a Muslim family moved across from you?</t>
  </si>
  <si>
    <t>Would you support your child if they had an inter-faith marriage?</t>
  </si>
  <si>
    <t>Would you support your child if they started practicing a religion they were not born into?</t>
  </si>
  <si>
    <t>Would you hire help who practices a different religion than you?</t>
  </si>
  <si>
    <t>Would you go eat at a Muslim-owned restaurant?</t>
  </si>
  <si>
    <t>A</t>
  </si>
  <si>
    <t>A1</t>
  </si>
  <si>
    <t>Chitra Nair</t>
  </si>
  <si>
    <t>Smitha N</t>
  </si>
  <si>
    <t>Female</t>
  </si>
  <si>
    <t>37-54</t>
  </si>
  <si>
    <t>Married</t>
  </si>
  <si>
    <t>Mumbai</t>
  </si>
  <si>
    <t>New Delhi</t>
  </si>
  <si>
    <t>Malayalam</t>
  </si>
  <si>
    <t>Masters</t>
  </si>
  <si>
    <t>Employed</t>
  </si>
  <si>
    <t>50K-1L</t>
  </si>
  <si>
    <t>Satisfied</t>
  </si>
  <si>
    <t>Unsatisfied</t>
  </si>
  <si>
    <t>No</t>
  </si>
  <si>
    <t>Yes</t>
  </si>
  <si>
    <t>A2</t>
  </si>
  <si>
    <t>Ajay N</t>
  </si>
  <si>
    <t>Male</t>
  </si>
  <si>
    <t>5L- 10L</t>
  </si>
  <si>
    <t>Neutral</t>
  </si>
  <si>
    <t>A3</t>
  </si>
  <si>
    <t>Shriya N</t>
  </si>
  <si>
    <t>Unmarried</t>
  </si>
  <si>
    <t>Secondary</t>
  </si>
  <si>
    <t>N/A</t>
  </si>
  <si>
    <t>Very Satisfied</t>
  </si>
  <si>
    <t>B</t>
  </si>
  <si>
    <t>B1</t>
  </si>
  <si>
    <t>Aditi Bamba</t>
  </si>
  <si>
    <t>19-36</t>
  </si>
  <si>
    <t>Hindi</t>
  </si>
  <si>
    <t>Higher Secondary</t>
  </si>
  <si>
    <t>B2</t>
  </si>
  <si>
    <t>Charu Bamba</t>
  </si>
  <si>
    <t>Ranchi</t>
  </si>
  <si>
    <t>1L-5L</t>
  </si>
  <si>
    <t>B3</t>
  </si>
  <si>
    <t>Karan Bamba</t>
  </si>
  <si>
    <t>55-72</t>
  </si>
  <si>
    <t>Chandigarh</t>
  </si>
  <si>
    <t>5L-10L</t>
  </si>
  <si>
    <t>Very Unsatisfied</t>
  </si>
  <si>
    <t>C</t>
  </si>
  <si>
    <t>C1</t>
  </si>
  <si>
    <t>Sanjay D</t>
  </si>
  <si>
    <t>Kolhapur</t>
  </si>
  <si>
    <t>Marathi</t>
  </si>
  <si>
    <t>10K-50K</t>
  </si>
  <si>
    <t>C2</t>
  </si>
  <si>
    <t>Usha D</t>
  </si>
  <si>
    <t>Raigad</t>
  </si>
  <si>
    <t>Upper Primary</t>
  </si>
  <si>
    <t>0-10K</t>
  </si>
  <si>
    <t>C3</t>
  </si>
  <si>
    <t>Sanjana D</t>
  </si>
  <si>
    <t>C4</t>
  </si>
  <si>
    <t>Savitri D</t>
  </si>
  <si>
    <t>Homemaker</t>
  </si>
  <si>
    <t>D</t>
  </si>
  <si>
    <t>D1</t>
  </si>
  <si>
    <t>Tanvi Saxena</t>
  </si>
  <si>
    <t>Malavika. B</t>
  </si>
  <si>
    <t>Bangalore</t>
  </si>
  <si>
    <t>Tamil</t>
  </si>
  <si>
    <t>D2</t>
  </si>
  <si>
    <t>Gayathri. B</t>
  </si>
  <si>
    <t>Chennai</t>
  </si>
  <si>
    <t>Post-Graduate</t>
  </si>
  <si>
    <t>D3</t>
  </si>
  <si>
    <t>Vandana. B</t>
  </si>
  <si>
    <t>E</t>
  </si>
  <si>
    <t>E1</t>
  </si>
  <si>
    <t>Shivani. S</t>
  </si>
  <si>
    <t>London</t>
  </si>
  <si>
    <t>10L and above</t>
  </si>
  <si>
    <t>E2</t>
  </si>
  <si>
    <t>Arjun. C</t>
  </si>
  <si>
    <t>F</t>
  </si>
  <si>
    <t>F1</t>
  </si>
  <si>
    <t>Tanish. G</t>
  </si>
  <si>
    <t>F2</t>
  </si>
  <si>
    <t>Avi. G</t>
  </si>
  <si>
    <t>English</t>
  </si>
  <si>
    <t>F3</t>
  </si>
  <si>
    <t>Gupta</t>
  </si>
  <si>
    <t>Under Graduate</t>
  </si>
  <si>
    <t>G</t>
  </si>
  <si>
    <t>G1</t>
  </si>
  <si>
    <t>Smrithi. B</t>
  </si>
  <si>
    <t>Thanjavor</t>
  </si>
  <si>
    <t>G2</t>
  </si>
  <si>
    <t>Balasubramanian. G</t>
  </si>
  <si>
    <t>G3</t>
  </si>
  <si>
    <t>Jayasri. B</t>
  </si>
  <si>
    <t>Thirukattupalli</t>
  </si>
  <si>
    <t>H</t>
  </si>
  <si>
    <t>H1</t>
  </si>
  <si>
    <t>Aarya Menon</t>
  </si>
  <si>
    <t>S.Menon</t>
  </si>
  <si>
    <t>H2</t>
  </si>
  <si>
    <t>P.Menon</t>
  </si>
  <si>
    <t>H3</t>
  </si>
  <si>
    <t>Priya Menon</t>
  </si>
  <si>
    <t>Chalakudy</t>
  </si>
  <si>
    <t>Under graduate</t>
  </si>
  <si>
    <t>H4</t>
  </si>
  <si>
    <t>Praful Menon</t>
  </si>
  <si>
    <t>I</t>
  </si>
  <si>
    <t>I1</t>
  </si>
  <si>
    <t>Uma Subramanya Raja</t>
  </si>
  <si>
    <t>Secunderabad</t>
  </si>
  <si>
    <t>I2</t>
  </si>
  <si>
    <t>Vivek Raja</t>
  </si>
  <si>
    <t>J</t>
  </si>
  <si>
    <t>J1</t>
  </si>
  <si>
    <t>Madhuri Rao</t>
  </si>
  <si>
    <t>Visakhapatnam</t>
  </si>
  <si>
    <t>Telugu</t>
  </si>
  <si>
    <t>J2</t>
  </si>
  <si>
    <t>Deepak Rao</t>
  </si>
  <si>
    <t>K</t>
  </si>
  <si>
    <t>K1</t>
  </si>
  <si>
    <t>Meenakshi</t>
  </si>
  <si>
    <t>10k-50k</t>
  </si>
  <si>
    <t>K2</t>
  </si>
  <si>
    <t>Gladys</t>
  </si>
  <si>
    <t>Sl no</t>
  </si>
  <si>
    <t>Individual ID (within household)</t>
  </si>
  <si>
    <t>Interviewer name</t>
  </si>
  <si>
    <t>Marital status</t>
  </si>
  <si>
    <t>Current place of residence</t>
  </si>
  <si>
    <t>Place of birth</t>
  </si>
  <si>
    <t>Language</t>
  </si>
  <si>
    <t>Education</t>
  </si>
  <si>
    <t>Income Monthly</t>
  </si>
  <si>
    <t>Siddha Murada</t>
  </si>
  <si>
    <t>Ramashish Yadav</t>
  </si>
  <si>
    <t>Delhi</t>
  </si>
  <si>
    <t>Jharkhand</t>
  </si>
  <si>
    <t>Bhojpuri</t>
  </si>
  <si>
    <t>Primary Level</t>
  </si>
  <si>
    <t>10000-20000</t>
  </si>
  <si>
    <t>Mamta Yadav</t>
  </si>
  <si>
    <t>Higher secondary</t>
  </si>
  <si>
    <t>Ayush Yadav</t>
  </si>
  <si>
    <t>NA</t>
  </si>
  <si>
    <t>Shyam Yadav</t>
  </si>
  <si>
    <t>Kusum Yadav</t>
  </si>
  <si>
    <t>Rashid Hussain</t>
  </si>
  <si>
    <t>Uttar Pradesh</t>
  </si>
  <si>
    <t>Bachelor's</t>
  </si>
  <si>
    <t>100000-200000</t>
  </si>
  <si>
    <t>Nazriya Hussain</t>
  </si>
  <si>
    <t>Faiza Hussain</t>
  </si>
  <si>
    <t>Ishaan Hussain</t>
  </si>
  <si>
    <t>Pooja</t>
  </si>
  <si>
    <t>Master's</t>
  </si>
  <si>
    <t>300000-400000</t>
  </si>
  <si>
    <t>Sandeep</t>
  </si>
  <si>
    <t>500000-600000</t>
  </si>
  <si>
    <t xml:space="preserve">Jai </t>
  </si>
  <si>
    <t>Secondary Level</t>
  </si>
  <si>
    <t>Riyan</t>
  </si>
  <si>
    <t>Trishala S</t>
  </si>
  <si>
    <t>Rahul</t>
  </si>
  <si>
    <t>Coimbatore</t>
  </si>
  <si>
    <t>Maha</t>
  </si>
  <si>
    <t>Raju</t>
  </si>
  <si>
    <t>Nithya</t>
  </si>
  <si>
    <t>Naveen Kumar</t>
  </si>
  <si>
    <t>Telugu/Kannada</t>
  </si>
  <si>
    <t>180000-190000</t>
  </si>
  <si>
    <t>Indra</t>
  </si>
  <si>
    <t>Trichy</t>
  </si>
  <si>
    <t>Deeksha</t>
  </si>
  <si>
    <t>Dhasarna</t>
  </si>
  <si>
    <t>Krishna</t>
  </si>
  <si>
    <t>Selvi</t>
  </si>
  <si>
    <t>Erode</t>
  </si>
  <si>
    <t>Akshay</t>
  </si>
  <si>
    <t>Asmi Nahar</t>
  </si>
  <si>
    <t>Nitin</t>
  </si>
  <si>
    <t>Chittor</t>
  </si>
  <si>
    <t>Marwadi</t>
  </si>
  <si>
    <t>200000-300000</t>
  </si>
  <si>
    <t>Seema</t>
  </si>
  <si>
    <t>Bhilwada</t>
  </si>
  <si>
    <t>Abhigya</t>
  </si>
  <si>
    <t>unmarried</t>
  </si>
  <si>
    <t>mumbai</t>
  </si>
  <si>
    <t xml:space="preserve">Ranjeet </t>
  </si>
  <si>
    <t>Teja</t>
  </si>
  <si>
    <t>Praveen</t>
  </si>
  <si>
    <t>Dubai</t>
  </si>
  <si>
    <t>Manisha</t>
  </si>
  <si>
    <t>Jaipur</t>
  </si>
  <si>
    <t>Serial Number</t>
  </si>
  <si>
    <t>Interviewer's name</t>
  </si>
  <si>
    <t xml:space="preserve">Marrital Status </t>
  </si>
  <si>
    <t>Résidence place</t>
  </si>
  <si>
    <t xml:space="preserve">Place of Birth </t>
  </si>
  <si>
    <t xml:space="preserve">Mother Tongue </t>
  </si>
  <si>
    <t xml:space="preserve">Education </t>
  </si>
  <si>
    <t xml:space="preserve">Working Status </t>
  </si>
  <si>
    <t xml:space="preserve">Monthly income </t>
  </si>
  <si>
    <t>I-A</t>
  </si>
  <si>
    <t xml:space="preserve">Vedant Shirude </t>
  </si>
  <si>
    <t>Takshak Thombare</t>
  </si>
  <si>
    <t xml:space="preserve">Chalisgaon </t>
  </si>
  <si>
    <t xml:space="preserve">Marathi </t>
  </si>
  <si>
    <t xml:space="preserve">Bachelor's </t>
  </si>
  <si>
    <t>I-B</t>
  </si>
  <si>
    <t>Neha Thombare</t>
  </si>
  <si>
    <t xml:space="preserve">Married </t>
  </si>
  <si>
    <t>Dhule</t>
  </si>
  <si>
    <t xml:space="preserve">Employed </t>
  </si>
  <si>
    <t>I-C</t>
  </si>
  <si>
    <t>Swara Thombare</t>
  </si>
  <si>
    <t xml:space="preserve">Female </t>
  </si>
  <si>
    <t xml:space="preserve">Unmarried </t>
  </si>
  <si>
    <t>II</t>
  </si>
  <si>
    <t>II-A</t>
  </si>
  <si>
    <t>Prashant Amritkar</t>
  </si>
  <si>
    <t xml:space="preserve">Master's </t>
  </si>
  <si>
    <t>II-B</t>
  </si>
  <si>
    <t xml:space="preserve">Pallavi Amritkar </t>
  </si>
  <si>
    <t>Pimpalner</t>
  </si>
  <si>
    <t>II-C</t>
  </si>
  <si>
    <t xml:space="preserve">Shaurya Amritkar </t>
  </si>
  <si>
    <t>School</t>
  </si>
  <si>
    <t>III</t>
  </si>
  <si>
    <t>III- A</t>
  </si>
  <si>
    <t>Dinesh Tipare</t>
  </si>
  <si>
    <t xml:space="preserve">Dombivali </t>
  </si>
  <si>
    <t xml:space="preserve">Jalgaon </t>
  </si>
  <si>
    <t>III-B</t>
  </si>
  <si>
    <t>Vandana Tipare</t>
  </si>
  <si>
    <t>Bahal</t>
  </si>
  <si>
    <t>III-C</t>
  </si>
  <si>
    <t>Shantanu Tipare</t>
  </si>
  <si>
    <t xml:space="preserve">Delhi </t>
  </si>
  <si>
    <t>III-D</t>
  </si>
  <si>
    <t>Anushka Tipare</t>
  </si>
  <si>
    <t xml:space="preserve">Unemployed </t>
  </si>
  <si>
    <t>IV</t>
  </si>
  <si>
    <t>IV-A</t>
  </si>
  <si>
    <t>Rajendra Patil</t>
  </si>
  <si>
    <t>Shirsoli</t>
  </si>
  <si>
    <t xml:space="preserve">Higher Secondary </t>
  </si>
  <si>
    <t>IV-B</t>
  </si>
  <si>
    <t>Durga Patil</t>
  </si>
  <si>
    <t>Jalna</t>
  </si>
  <si>
    <t xml:space="preserve">Secondary </t>
  </si>
  <si>
    <t>IV-C</t>
  </si>
  <si>
    <t>Ganesh Patil</t>
  </si>
  <si>
    <t>Pune</t>
  </si>
  <si>
    <t xml:space="preserve">Shirsoli </t>
  </si>
  <si>
    <t>IV-D</t>
  </si>
  <si>
    <t xml:space="preserve">Shalini Patil </t>
  </si>
  <si>
    <t xml:space="preserve">Solapur </t>
  </si>
  <si>
    <t>IV-E</t>
  </si>
  <si>
    <t>Dhruv Patil</t>
  </si>
  <si>
    <t xml:space="preserve">Pune </t>
  </si>
  <si>
    <t>IV-F</t>
  </si>
  <si>
    <t>Anjali Patil</t>
  </si>
  <si>
    <t>V</t>
  </si>
  <si>
    <t>V-A</t>
  </si>
  <si>
    <t xml:space="preserve">Sachit Kalra </t>
  </si>
  <si>
    <t>Navin Noolee</t>
  </si>
  <si>
    <t xml:space="preserve">London </t>
  </si>
  <si>
    <t xml:space="preserve">Hubli </t>
  </si>
  <si>
    <t xml:space="preserve">Kannada </t>
  </si>
  <si>
    <t>V-B</t>
  </si>
  <si>
    <t>Suchita Noolee</t>
  </si>
  <si>
    <t xml:space="preserve">Chandigarh </t>
  </si>
  <si>
    <t xml:space="preserve">Punjabi </t>
  </si>
  <si>
    <t>V-C</t>
  </si>
  <si>
    <t>Aanav Noolee</t>
  </si>
  <si>
    <t xml:space="preserve">English </t>
  </si>
  <si>
    <t>V-D</t>
  </si>
  <si>
    <t>Sasikala Noolee</t>
  </si>
  <si>
    <t>Widowed</t>
  </si>
  <si>
    <t xml:space="preserve">Belgaum </t>
  </si>
  <si>
    <t>VI</t>
  </si>
  <si>
    <t>VI-A</t>
  </si>
  <si>
    <t>Satyanarayan Sharma</t>
  </si>
  <si>
    <t>Sanjay Navalkha</t>
  </si>
  <si>
    <t xml:space="preserve">Bangalore </t>
  </si>
  <si>
    <t>Karnal</t>
  </si>
  <si>
    <t>Punjabi</t>
  </si>
  <si>
    <t>VI-B</t>
  </si>
  <si>
    <t xml:space="preserve">Sridevi Navalkha </t>
  </si>
  <si>
    <t xml:space="preserve">Trichy </t>
  </si>
  <si>
    <t>VI-C</t>
  </si>
  <si>
    <t xml:space="preserve">Rohini Navalkha </t>
  </si>
  <si>
    <t xml:space="preserve">Barcelona </t>
  </si>
  <si>
    <t>VI-D</t>
  </si>
  <si>
    <t xml:space="preserve">Lavanya Navalkha </t>
  </si>
  <si>
    <t xml:space="preserve">Mumbai </t>
  </si>
  <si>
    <t>VI-E</t>
  </si>
  <si>
    <t xml:space="preserve">Jamuna Devi Navalkha </t>
  </si>
  <si>
    <t xml:space="preserve">Widowed </t>
  </si>
  <si>
    <t>Lahore</t>
  </si>
  <si>
    <t>Retired</t>
  </si>
  <si>
    <t>VII</t>
  </si>
  <si>
    <t>VII-A</t>
  </si>
  <si>
    <t>Lalit Das</t>
  </si>
  <si>
    <t>Kollam</t>
  </si>
  <si>
    <t>Parakod</t>
  </si>
  <si>
    <t>Konkani</t>
  </si>
  <si>
    <t>VII-B</t>
  </si>
  <si>
    <t>Vijaya Das</t>
  </si>
  <si>
    <t xml:space="preserve">Kollam </t>
  </si>
  <si>
    <t>Eluva</t>
  </si>
  <si>
    <t xml:space="preserve">Konkani </t>
  </si>
  <si>
    <t>VII-C</t>
  </si>
  <si>
    <t>Anup Das</t>
  </si>
  <si>
    <t>VII-D</t>
  </si>
  <si>
    <t>Reshmi Das</t>
  </si>
  <si>
    <t>Vaikom</t>
  </si>
  <si>
    <t>VII-E</t>
  </si>
  <si>
    <t>Abhinav Das</t>
  </si>
  <si>
    <t>VIII</t>
  </si>
  <si>
    <t>VIII-A</t>
  </si>
  <si>
    <t>Amol Sumrani</t>
  </si>
  <si>
    <t>Gurgaon</t>
  </si>
  <si>
    <t>Indore</t>
  </si>
  <si>
    <t>VIII-B</t>
  </si>
  <si>
    <t>Anupriya Sumrani</t>
  </si>
  <si>
    <t>Dehradun</t>
  </si>
  <si>
    <t>VIII-C</t>
  </si>
  <si>
    <t>Nivedita Sumrani</t>
  </si>
  <si>
    <t>IX</t>
  </si>
  <si>
    <t>IX-A</t>
  </si>
  <si>
    <t>Shalom Baby</t>
  </si>
  <si>
    <t>Mysore</t>
  </si>
  <si>
    <t>Thrissur</t>
  </si>
  <si>
    <t>IX-B</t>
  </si>
  <si>
    <t>Sarita Baby</t>
  </si>
  <si>
    <t>Kannur</t>
  </si>
  <si>
    <t>IX-C</t>
  </si>
  <si>
    <t>Sneha Samson Baby</t>
  </si>
  <si>
    <t>X</t>
  </si>
  <si>
    <t>X-A</t>
  </si>
  <si>
    <t>Pandurang Mahajan</t>
  </si>
  <si>
    <t>Nashik</t>
  </si>
  <si>
    <t>Ozhar</t>
  </si>
  <si>
    <t>X-B</t>
  </si>
  <si>
    <t>Lalita Mahajan</t>
  </si>
  <si>
    <t>Aurangabad</t>
  </si>
  <si>
    <t>X-C</t>
  </si>
  <si>
    <t>Rohit Mahajan</t>
  </si>
  <si>
    <t>X-D</t>
  </si>
  <si>
    <t>Ritika Mahajan</t>
  </si>
  <si>
    <t xml:space="preserve">NA </t>
  </si>
  <si>
    <t xml:space="preserve">SL NO </t>
  </si>
  <si>
    <t>Interviewer</t>
  </si>
  <si>
    <t xml:space="preserve">Mothertongue </t>
  </si>
  <si>
    <t xml:space="preserve">Highest Education Attained </t>
  </si>
  <si>
    <t xml:space="preserve">Household Size </t>
  </si>
  <si>
    <t>Current working status</t>
  </si>
  <si>
    <t>Religion</t>
  </si>
  <si>
    <t>Average Monthly Income</t>
  </si>
  <si>
    <t xml:space="preserve">Aura </t>
  </si>
  <si>
    <t>1A</t>
  </si>
  <si>
    <t>Aura Shah</t>
  </si>
  <si>
    <t>Pune, MH</t>
  </si>
  <si>
    <t>Mumbai, MH</t>
  </si>
  <si>
    <t>Gujarati</t>
  </si>
  <si>
    <t>Undergraduate</t>
  </si>
  <si>
    <t>N/A- not working</t>
  </si>
  <si>
    <t>Jain</t>
  </si>
  <si>
    <t>1B</t>
  </si>
  <si>
    <t>Prachi Shah</t>
  </si>
  <si>
    <t>1C</t>
  </si>
  <si>
    <t xml:space="preserve">Vikram Shah </t>
  </si>
  <si>
    <t>Self-employed</t>
  </si>
  <si>
    <t>More than 5 Lakhs</t>
  </si>
  <si>
    <t>1D</t>
  </si>
  <si>
    <t xml:space="preserve">Ketki Shah </t>
  </si>
  <si>
    <t>High School</t>
  </si>
  <si>
    <t>2A</t>
  </si>
  <si>
    <t>Zarana Arora</t>
  </si>
  <si>
    <t>2B</t>
  </si>
  <si>
    <t xml:space="preserve">Karan Arora </t>
  </si>
  <si>
    <t>Hindu</t>
  </si>
  <si>
    <t>Prefer not to say</t>
  </si>
  <si>
    <t>2C</t>
  </si>
  <si>
    <t>Ezan Arora</t>
  </si>
  <si>
    <t>Primary School</t>
  </si>
  <si>
    <t>2D</t>
  </si>
  <si>
    <t xml:space="preserve">Evan Arora </t>
  </si>
  <si>
    <t>1E</t>
  </si>
  <si>
    <t xml:space="preserve">Tanya Shah </t>
  </si>
  <si>
    <t>USA</t>
  </si>
  <si>
    <t>Employee</t>
  </si>
  <si>
    <t>2 lakh - 5 lakh</t>
  </si>
  <si>
    <t>1F</t>
  </si>
  <si>
    <t xml:space="preserve">Dhirubhai Shah </t>
  </si>
  <si>
    <t>3A</t>
  </si>
  <si>
    <t xml:space="preserve">Yesha Mehta </t>
  </si>
  <si>
    <t xml:space="preserve">Spain </t>
  </si>
  <si>
    <t>3B</t>
  </si>
  <si>
    <t>Twisha Mehta</t>
  </si>
  <si>
    <t>1 lakh - 2 lakh</t>
  </si>
  <si>
    <t>3C</t>
  </si>
  <si>
    <t xml:space="preserve">Jigar Mehta </t>
  </si>
  <si>
    <t>3D</t>
  </si>
  <si>
    <t>Namta Mehta</t>
  </si>
  <si>
    <t>3E</t>
  </si>
  <si>
    <t>Kirti Maun</t>
  </si>
  <si>
    <t>3F</t>
  </si>
  <si>
    <t>Aruna Maun</t>
  </si>
  <si>
    <t>4A</t>
  </si>
  <si>
    <t>Chinmay Subramanian</t>
  </si>
  <si>
    <t>Panaji, GA</t>
  </si>
  <si>
    <t>Atheist</t>
  </si>
  <si>
    <t>4B</t>
  </si>
  <si>
    <t>Madhavi Subramanian</t>
  </si>
  <si>
    <t>Hyderabad, TS</t>
  </si>
  <si>
    <t xml:space="preserve">Hindu </t>
  </si>
  <si>
    <t>4C</t>
  </si>
  <si>
    <t>Vinod Subramanian</t>
  </si>
  <si>
    <t>Palakkad, KL</t>
  </si>
  <si>
    <t>Abhinav</t>
  </si>
  <si>
    <t>5A</t>
  </si>
  <si>
    <t>Rajesh P</t>
  </si>
  <si>
    <t>Ernakulam, KL</t>
  </si>
  <si>
    <t>Thrissur, KL</t>
  </si>
  <si>
    <t>5B</t>
  </si>
  <si>
    <t xml:space="preserve">Sujatha Rajesh </t>
  </si>
  <si>
    <t>Below Rs.20,000</t>
  </si>
  <si>
    <t>5C</t>
  </si>
  <si>
    <t>Aswathy PR</t>
  </si>
  <si>
    <t>5D</t>
  </si>
  <si>
    <t>Adithyan PR</t>
  </si>
  <si>
    <t>6A</t>
  </si>
  <si>
    <t>Prakashan C</t>
  </si>
  <si>
    <t>Rs. 40,000 - Rs. 60,000</t>
  </si>
  <si>
    <t>6B</t>
  </si>
  <si>
    <t>Usha Prakashan</t>
  </si>
  <si>
    <t>6C</t>
  </si>
  <si>
    <t>Greeshma CP</t>
  </si>
  <si>
    <t>Doctoral</t>
  </si>
  <si>
    <t>Rs 20,000 - Rs. 40,000</t>
  </si>
  <si>
    <t>6D</t>
  </si>
  <si>
    <t>Sreya CP</t>
  </si>
  <si>
    <t>7A</t>
  </si>
  <si>
    <t>Jayaram R</t>
  </si>
  <si>
    <t>7B</t>
  </si>
  <si>
    <t>Roshni R</t>
  </si>
  <si>
    <t>8A</t>
  </si>
  <si>
    <t>Martin Oorali</t>
  </si>
  <si>
    <t>Rs 60,000- Rs 80,000</t>
  </si>
  <si>
    <t>8B</t>
  </si>
  <si>
    <t>Saji Oorali</t>
  </si>
  <si>
    <t>Thiruvananthapuram, KL</t>
  </si>
  <si>
    <t>Malyalam</t>
  </si>
  <si>
    <t xml:space="preserve">Atheist </t>
  </si>
  <si>
    <t>Rs 80,000- Rs 1 lakh</t>
  </si>
  <si>
    <t>8C</t>
  </si>
  <si>
    <t>Arjun Oorali</t>
  </si>
  <si>
    <t>Angamaly, KL</t>
  </si>
  <si>
    <t>8D</t>
  </si>
  <si>
    <t>Diana S</t>
  </si>
  <si>
    <t>Gautam</t>
  </si>
  <si>
    <t>9A</t>
  </si>
  <si>
    <t>Gautam Kodukula</t>
  </si>
  <si>
    <t>Ongole, AP</t>
  </si>
  <si>
    <t>9B</t>
  </si>
  <si>
    <t>Kamala Kodukula</t>
  </si>
  <si>
    <t>Guntur, AP</t>
  </si>
  <si>
    <t>9C</t>
  </si>
  <si>
    <t>Vishy Kodukula</t>
  </si>
  <si>
    <t>Kolkata, WB</t>
  </si>
  <si>
    <t>9D</t>
  </si>
  <si>
    <t>Geethika Kodukula</t>
  </si>
  <si>
    <t>Kakinada, AP</t>
  </si>
  <si>
    <t>10A</t>
  </si>
  <si>
    <t>Kedarnath Sharma</t>
  </si>
  <si>
    <t>Tadikonda, AP</t>
  </si>
  <si>
    <t>10B</t>
  </si>
  <si>
    <t>Sowmya Sharma</t>
  </si>
  <si>
    <t>10C</t>
  </si>
  <si>
    <t>Surya Vyas Sharma</t>
  </si>
  <si>
    <t>Secondary School</t>
  </si>
  <si>
    <t>Personal ID</t>
  </si>
  <si>
    <t>Name of Interviewer</t>
  </si>
  <si>
    <t>Initials of the Household member</t>
  </si>
  <si>
    <t>Current Place of Residence (City/District)</t>
  </si>
  <si>
    <t>Language/ Mother Tongue</t>
  </si>
  <si>
    <t>Highest education attained</t>
  </si>
  <si>
    <t>Average monthly income</t>
  </si>
  <si>
    <t>Job Satisfaction</t>
  </si>
  <si>
    <t>Religious Tolerance</t>
  </si>
  <si>
    <t xml:space="preserve">Shrinidhi Suneeth </t>
  </si>
  <si>
    <t>Single</t>
  </si>
  <si>
    <t>N.A</t>
  </si>
  <si>
    <t>Strongly agree</t>
  </si>
  <si>
    <t>PD</t>
  </si>
  <si>
    <t>40-50</t>
  </si>
  <si>
    <t>Agree</t>
  </si>
  <si>
    <t>ND</t>
  </si>
  <si>
    <t>BR</t>
  </si>
  <si>
    <t>Divorced</t>
  </si>
  <si>
    <t>Disagree</t>
  </si>
  <si>
    <t>NM</t>
  </si>
  <si>
    <t>20-30</t>
  </si>
  <si>
    <t>High School Graduate</t>
  </si>
  <si>
    <t>RR</t>
  </si>
  <si>
    <t>Eindhoven</t>
  </si>
  <si>
    <t xml:space="preserve">Tamil </t>
  </si>
  <si>
    <t>UG</t>
  </si>
  <si>
    <t>Unemployed</t>
  </si>
  <si>
    <t>Rs 5.00 lakh- Rs 7.5 lakh</t>
  </si>
  <si>
    <t xml:space="preserve">TP RK </t>
  </si>
  <si>
    <t>50-60</t>
  </si>
  <si>
    <t>Rs 10.00 lakhs – Rs 12.50 lakh</t>
  </si>
  <si>
    <t>Strongly Disagree</t>
  </si>
  <si>
    <t>Sanjana Shah</t>
  </si>
  <si>
    <t>AAR</t>
  </si>
  <si>
    <t>Baroda</t>
  </si>
  <si>
    <t>AR</t>
  </si>
  <si>
    <t>0-10</t>
  </si>
  <si>
    <t>ADR</t>
  </si>
  <si>
    <t>30-40</t>
  </si>
  <si>
    <t>Ahmedabad</t>
  </si>
  <si>
    <t>&gt; Rs. 15 Lakhs</t>
  </si>
  <si>
    <t>AS</t>
  </si>
  <si>
    <t>DM</t>
  </si>
  <si>
    <t>Sindhi</t>
  </si>
  <si>
    <t>Rs 0.0 – Rs 2.5 lakh</t>
  </si>
  <si>
    <t>SM</t>
  </si>
  <si>
    <t xml:space="preserve">Maahi Patel </t>
  </si>
  <si>
    <t>DP</t>
  </si>
  <si>
    <t>Anand</t>
  </si>
  <si>
    <t xml:space="preserve">Gujarati </t>
  </si>
  <si>
    <t>Wardha</t>
  </si>
  <si>
    <t>BP</t>
  </si>
  <si>
    <t>70-80</t>
  </si>
  <si>
    <t>Nairobi</t>
  </si>
  <si>
    <t>VP</t>
  </si>
  <si>
    <t>Solapur</t>
  </si>
  <si>
    <t>MP</t>
  </si>
  <si>
    <t>NS</t>
  </si>
  <si>
    <t>SS</t>
  </si>
  <si>
    <t>RS</t>
  </si>
  <si>
    <t>SR</t>
  </si>
  <si>
    <t>Hubli</t>
  </si>
  <si>
    <t>Kannada</t>
  </si>
  <si>
    <t>A.R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</si>
  <si>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</si>
  <si>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</si>
  <si>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</si>
  <si>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</si>
  <si>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</si>
  <si>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</si>
  <si>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</si>
  <si>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</si>
  <si>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</si>
  <si>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</si>
  <si>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W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</si>
  <si>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</si>
  <si>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</si>
  <si>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</si>
  <si>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</si>
  <si>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</si>
  <si>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</si>
  <si>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</si>
  <si>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</si>
  <si>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</si>
  <si>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</si>
  <si>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</si>
  <si>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AO</t>
  </si>
  <si>
    <t>AP</t>
  </si>
  <si>
    <t>AQ</t>
  </si>
  <si>
    <t>AT</t>
  </si>
  <si>
    <t>AU</t>
  </si>
  <si>
    <t>AV</t>
  </si>
  <si>
    <t>AW</t>
  </si>
  <si>
    <t>AX</t>
  </si>
  <si>
    <t>AY</t>
  </si>
  <si>
    <t>AZ</t>
  </si>
  <si>
    <t>BA</t>
  </si>
  <si>
    <t>BC</t>
  </si>
  <si>
    <t xml:space="preserve"> MH</t>
  </si>
  <si>
    <t>Ernakulam</t>
  </si>
  <si>
    <t xml:space="preserve"> KL</t>
  </si>
  <si>
    <t>Hyderabad</t>
  </si>
  <si>
    <t xml:space="preserve"> TS</t>
  </si>
  <si>
    <t>Current Place of Residence-City/District</t>
  </si>
  <si>
    <t>Current Place of Residence-State/Country</t>
  </si>
  <si>
    <t>MH</t>
  </si>
  <si>
    <t>DL</t>
  </si>
  <si>
    <t>KA</t>
  </si>
  <si>
    <t>United Kingdom</t>
  </si>
  <si>
    <t>TN</t>
  </si>
  <si>
    <t>KL</t>
  </si>
  <si>
    <t>JH</t>
  </si>
  <si>
    <t>Chittorgarh</t>
  </si>
  <si>
    <t>RJ</t>
  </si>
  <si>
    <t>United Arab Emirates</t>
  </si>
  <si>
    <t>Jalgaon</t>
  </si>
  <si>
    <t>Spain</t>
  </si>
  <si>
    <t>HR</t>
  </si>
  <si>
    <t>New York</t>
  </si>
  <si>
    <t>GJ</t>
  </si>
  <si>
    <t>Kenya</t>
  </si>
  <si>
    <t>Place of Birth-City/District</t>
  </si>
  <si>
    <t>Place of Birth-State/Country</t>
  </si>
  <si>
    <t>PB</t>
  </si>
  <si>
    <t>Thanjavur</t>
  </si>
  <si>
    <t>TS</t>
  </si>
  <si>
    <t>Lucknow</t>
  </si>
  <si>
    <t>UP</t>
  </si>
  <si>
    <t>Bhilwara</t>
  </si>
  <si>
    <t>Bhiwani</t>
  </si>
  <si>
    <t>Thane</t>
  </si>
  <si>
    <t>Pakisthan</t>
  </si>
  <si>
    <t>Palakkad</t>
  </si>
  <si>
    <t>Kottayam</t>
  </si>
  <si>
    <t>UK</t>
  </si>
  <si>
    <t>Panaji</t>
  </si>
  <si>
    <t xml:space="preserve"> GA</t>
  </si>
  <si>
    <t>Thiruvananthapuram</t>
  </si>
  <si>
    <t>Angamaly</t>
  </si>
  <si>
    <t>Ongole</t>
  </si>
  <si>
    <t xml:space="preserve"> AP</t>
  </si>
  <si>
    <t>Guntur</t>
  </si>
  <si>
    <t>Kolkata</t>
  </si>
  <si>
    <t xml:space="preserve"> WB</t>
  </si>
  <si>
    <t>Kakinada</t>
  </si>
  <si>
    <t>Tadikonda</t>
  </si>
  <si>
    <t>YEAR</t>
  </si>
  <si>
    <t>POPULATION</t>
  </si>
  <si>
    <t>BIRTHS PER 1,000</t>
  </si>
  <si>
    <t>BIRTHS BETWEEN BENCHMARKS</t>
  </si>
  <si>
    <t>NUMBER EVER BORN</t>
  </si>
  <si>
    <t>PERCENT OF THOSE EVER BORN</t>
  </si>
  <si>
    <t>190,000 B.C.E</t>
  </si>
  <si>
    <t>–</t>
  </si>
  <si>
    <t>50,000 B.C.E.</t>
  </si>
  <si>
    <t>8000 B.C.E.</t>
  </si>
  <si>
    <t>1 C.E.</t>
  </si>
  <si>
    <t>31-38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</si>
</sst>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m/d"/>
  </numFmts>
  <fonts count="16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202124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7"/>
      <color rgb="FF2B2B2B"/>
      <name val="Source Sans Pro"/>
      <family val="2"/>
    </font>
    <font>
      <sz val="8"/>
      <color rgb="FF2B2B2B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thick">
        <color auto="1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thick">
        <color auto="1"/>
      </right>
      <top/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4D779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8" fillId="2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11" fillId="0" borderId="13" xfId="0" applyFont="1" applyBorder="1"/>
    <xf numFmtId="0" fontId="12" fillId="0" borderId="13" xfId="0" applyFont="1" applyBorder="1" applyAlignment="1">
      <alignment horizontal="right"/>
    </xf>
    <xf numFmtId="165" fontId="12" fillId="0" borderId="5" xfId="0" applyNumberFormat="1" applyFont="1" applyBorder="1" applyAlignment="1">
      <alignment horizontal="right"/>
    </xf>
    <xf numFmtId="0" fontId="12" fillId="0" borderId="5" xfId="0" applyFont="1" applyBorder="1" applyAlignment="1">
      <alignment horizontal="right"/>
    </xf>
    <xf numFmtId="0" fontId="13" fillId="0" borderId="13" xfId="0" applyFont="1" applyBorder="1"/>
    <xf numFmtId="0" fontId="13" fillId="0" borderId="13" xfId="0" applyFont="1" applyBorder="1" applyAlignment="1">
      <alignment horizontal="right"/>
    </xf>
    <xf numFmtId="0" fontId="12" fillId="3" borderId="0" xfId="0" applyFont="1" applyFill="1" applyAlignment="1">
      <alignment horizontal="left"/>
    </xf>
    <xf numFmtId="0" fontId="2" fillId="0" borderId="14" xfId="0" applyFont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/>
    </xf>
    <xf numFmtId="0" fontId="14" fillId="0" borderId="15" xfId="0" applyFont="1" applyBorder="1" applyAlignment="1">
      <alignment horizontal="left" vertical="center" wrapText="1"/>
    </xf>
    <xf numFmtId="0" fontId="14" fillId="4" borderId="15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right" vertical="center" wrapText="1"/>
    </xf>
    <xf numFmtId="3" fontId="15" fillId="4" borderId="0" xfId="0" applyNumberFormat="1" applyFont="1" applyFill="1" applyAlignment="1">
      <alignment horizontal="right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5" borderId="0" xfId="0" applyFont="1" applyFill="1" applyAlignment="1">
      <alignment vertical="center" wrapText="1"/>
    </xf>
    <xf numFmtId="0" fontId="15" fillId="4" borderId="0" xfId="0" applyFont="1" applyFill="1" applyAlignment="1">
      <alignment vertical="center" wrapText="1"/>
    </xf>
    <xf numFmtId="3" fontId="15" fillId="4" borderId="0" xfId="0" applyNumberFormat="1" applyFont="1" applyFill="1" applyAlignment="1">
      <alignment vertical="center" wrapText="1"/>
    </xf>
    <xf numFmtId="3" fontId="15" fillId="5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B05A-E536-46B7-927C-58340C32911B}">
  <dimension ref="A1:T32"/>
  <sheetViews>
    <sheetView workbookViewId="0">
      <pane xSplit="1" ySplit="1" topLeftCell="B15" activePane="bottomRight" state="frozen"/>
      <selection pane="topRight" activeCell="B1" sqref="B1"/>
      <selection pane="bottomLeft" activeCell="A2" sqref="A2"/>
      <selection pane="bottomRight" activeCell="A2" sqref="A2:M32"/>
    </sheetView>
  </sheetViews>
  <sheetFormatPr defaultRowHeight="14.6"/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ht="15.45">
      <c r="A2" s="4">
        <v>1</v>
      </c>
      <c r="B2" s="5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5" t="s">
        <v>33</v>
      </c>
      <c r="P2" s="5" t="s">
        <v>34</v>
      </c>
      <c r="Q2" s="5" t="s">
        <v>35</v>
      </c>
      <c r="R2" s="5" t="s">
        <v>35</v>
      </c>
      <c r="S2" s="6" t="s">
        <v>35</v>
      </c>
      <c r="T2" s="6" t="s">
        <v>36</v>
      </c>
    </row>
    <row r="3" spans="1:20" ht="15.45">
      <c r="A3" s="4">
        <v>2</v>
      </c>
      <c r="B3" s="5" t="s">
        <v>20</v>
      </c>
      <c r="C3" s="4" t="s">
        <v>37</v>
      </c>
      <c r="D3" s="4" t="s">
        <v>22</v>
      </c>
      <c r="E3" s="4" t="s">
        <v>38</v>
      </c>
      <c r="F3" s="4" t="s">
        <v>39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40</v>
      </c>
      <c r="O3" s="5" t="s">
        <v>33</v>
      </c>
      <c r="P3" s="5" t="s">
        <v>41</v>
      </c>
      <c r="Q3" s="5" t="s">
        <v>36</v>
      </c>
      <c r="R3" s="5" t="s">
        <v>35</v>
      </c>
      <c r="S3" s="6" t="s">
        <v>36</v>
      </c>
      <c r="T3" s="6" t="s">
        <v>36</v>
      </c>
    </row>
    <row r="4" spans="1:20" ht="15.45">
      <c r="A4" s="4">
        <v>3</v>
      </c>
      <c r="B4" s="5" t="s">
        <v>20</v>
      </c>
      <c r="C4" s="4" t="s">
        <v>42</v>
      </c>
      <c r="D4" s="4" t="s">
        <v>22</v>
      </c>
      <c r="E4" s="4" t="s">
        <v>43</v>
      </c>
      <c r="F4" s="4" t="s">
        <v>24</v>
      </c>
      <c r="G4" s="7">
        <v>44579</v>
      </c>
      <c r="H4" s="4" t="s">
        <v>44</v>
      </c>
      <c r="I4" s="4" t="s">
        <v>27</v>
      </c>
      <c r="J4" s="4" t="s">
        <v>28</v>
      </c>
      <c r="K4" s="4" t="s">
        <v>29</v>
      </c>
      <c r="L4" s="4" t="s">
        <v>45</v>
      </c>
      <c r="M4" s="4" t="s">
        <v>46</v>
      </c>
      <c r="N4" s="4" t="s">
        <v>46</v>
      </c>
      <c r="O4" s="5" t="s">
        <v>46</v>
      </c>
      <c r="P4" s="5" t="s">
        <v>47</v>
      </c>
      <c r="Q4" s="5" t="s">
        <v>36</v>
      </c>
      <c r="R4" s="5" t="s">
        <v>36</v>
      </c>
      <c r="S4" s="6" t="s">
        <v>36</v>
      </c>
      <c r="T4" s="6" t="s">
        <v>36</v>
      </c>
    </row>
    <row r="5" spans="1:20">
      <c r="A5" s="4">
        <v>4</v>
      </c>
      <c r="B5" s="5" t="s">
        <v>48</v>
      </c>
      <c r="C5" s="4" t="s">
        <v>49</v>
      </c>
      <c r="D5" s="4" t="s">
        <v>22</v>
      </c>
      <c r="E5" s="4" t="s">
        <v>50</v>
      </c>
      <c r="F5" s="4" t="s">
        <v>24</v>
      </c>
      <c r="G5" s="4" t="s">
        <v>51</v>
      </c>
      <c r="H5" s="4" t="s">
        <v>44</v>
      </c>
      <c r="I5" s="4" t="s">
        <v>28</v>
      </c>
      <c r="J5" s="4" t="s">
        <v>28</v>
      </c>
      <c r="K5" s="4" t="s">
        <v>52</v>
      </c>
      <c r="L5" s="4" t="s">
        <v>53</v>
      </c>
      <c r="M5" s="4" t="s">
        <v>46</v>
      </c>
      <c r="N5" s="4" t="s">
        <v>46</v>
      </c>
      <c r="O5" s="5" t="s">
        <v>46</v>
      </c>
      <c r="P5" s="5" t="s">
        <v>41</v>
      </c>
      <c r="Q5" s="5" t="s">
        <v>36</v>
      </c>
      <c r="R5" s="5" t="s">
        <v>36</v>
      </c>
      <c r="S5" s="8" t="s">
        <v>36</v>
      </c>
      <c r="T5" s="8" t="s">
        <v>36</v>
      </c>
    </row>
    <row r="6" spans="1:20" ht="15.45">
      <c r="A6" s="4">
        <v>5</v>
      </c>
      <c r="B6" s="5" t="s">
        <v>48</v>
      </c>
      <c r="C6" s="4" t="s">
        <v>54</v>
      </c>
      <c r="D6" s="4" t="s">
        <v>22</v>
      </c>
      <c r="E6" s="4" t="s">
        <v>55</v>
      </c>
      <c r="F6" s="4" t="s">
        <v>24</v>
      </c>
      <c r="G6" s="4" t="s">
        <v>25</v>
      </c>
      <c r="H6" s="4" t="s">
        <v>26</v>
      </c>
      <c r="I6" s="4" t="s">
        <v>28</v>
      </c>
      <c r="J6" s="4" t="s">
        <v>56</v>
      </c>
      <c r="K6" s="4" t="s">
        <v>52</v>
      </c>
      <c r="L6" s="4" t="s">
        <v>30</v>
      </c>
      <c r="M6" s="4" t="s">
        <v>31</v>
      </c>
      <c r="N6" s="4" t="s">
        <v>57</v>
      </c>
      <c r="O6" s="5" t="s">
        <v>47</v>
      </c>
      <c r="P6" s="5" t="s">
        <v>41</v>
      </c>
      <c r="Q6" s="5" t="s">
        <v>36</v>
      </c>
      <c r="R6" s="5" t="s">
        <v>36</v>
      </c>
      <c r="S6" s="6" t="s">
        <v>36</v>
      </c>
      <c r="T6" s="6" t="s">
        <v>36</v>
      </c>
    </row>
    <row r="7" spans="1:20" ht="15.45">
      <c r="A7" s="4">
        <v>6</v>
      </c>
      <c r="B7" s="5" t="s">
        <v>48</v>
      </c>
      <c r="C7" s="4" t="s">
        <v>58</v>
      </c>
      <c r="D7" s="4" t="s">
        <v>22</v>
      </c>
      <c r="E7" s="4" t="s">
        <v>59</v>
      </c>
      <c r="F7" s="4" t="s">
        <v>39</v>
      </c>
      <c r="G7" s="4" t="s">
        <v>60</v>
      </c>
      <c r="H7" s="4" t="s">
        <v>26</v>
      </c>
      <c r="I7" s="4" t="s">
        <v>28</v>
      </c>
      <c r="J7" s="4" t="s">
        <v>61</v>
      </c>
      <c r="K7" s="4" t="s">
        <v>52</v>
      </c>
      <c r="L7" s="4" t="s">
        <v>30</v>
      </c>
      <c r="M7" s="4" t="s">
        <v>31</v>
      </c>
      <c r="N7" s="4" t="s">
        <v>62</v>
      </c>
      <c r="O7" s="5" t="s">
        <v>63</v>
      </c>
      <c r="P7" s="5" t="s">
        <v>41</v>
      </c>
      <c r="Q7" s="5" t="s">
        <v>35</v>
      </c>
      <c r="R7" s="5" t="s">
        <v>35</v>
      </c>
      <c r="S7" s="6" t="s">
        <v>36</v>
      </c>
      <c r="T7" s="6" t="s">
        <v>36</v>
      </c>
    </row>
    <row r="8" spans="1:20" ht="15.45">
      <c r="A8" s="4">
        <v>7</v>
      </c>
      <c r="B8" s="5" t="s">
        <v>64</v>
      </c>
      <c r="C8" s="4" t="s">
        <v>65</v>
      </c>
      <c r="D8" s="4" t="s">
        <v>22</v>
      </c>
      <c r="E8" s="4" t="s">
        <v>66</v>
      </c>
      <c r="F8" s="4" t="s">
        <v>39</v>
      </c>
      <c r="G8" s="4" t="s">
        <v>25</v>
      </c>
      <c r="H8" s="4" t="s">
        <v>26</v>
      </c>
      <c r="I8" s="4" t="s">
        <v>27</v>
      </c>
      <c r="J8" s="4" t="s">
        <v>67</v>
      </c>
      <c r="K8" s="4" t="s">
        <v>68</v>
      </c>
      <c r="L8" s="4" t="s">
        <v>45</v>
      </c>
      <c r="M8" s="4" t="s">
        <v>31</v>
      </c>
      <c r="N8" s="4" t="s">
        <v>69</v>
      </c>
      <c r="O8" s="5" t="s">
        <v>34</v>
      </c>
      <c r="P8" s="5" t="s">
        <v>34</v>
      </c>
      <c r="Q8" s="5" t="s">
        <v>35</v>
      </c>
      <c r="R8" s="5" t="s">
        <v>35</v>
      </c>
      <c r="S8" s="6" t="s">
        <v>35</v>
      </c>
      <c r="T8" s="6" t="s">
        <v>36</v>
      </c>
    </row>
    <row r="9" spans="1:20" ht="15.45">
      <c r="A9" s="4">
        <v>8</v>
      </c>
      <c r="B9" s="5" t="s">
        <v>64</v>
      </c>
      <c r="C9" s="4" t="s">
        <v>70</v>
      </c>
      <c r="D9" s="4" t="s">
        <v>22</v>
      </c>
      <c r="E9" s="4" t="s">
        <v>71</v>
      </c>
      <c r="F9" s="4" t="s">
        <v>24</v>
      </c>
      <c r="G9" s="4" t="s">
        <v>25</v>
      </c>
      <c r="H9" s="4" t="s">
        <v>26</v>
      </c>
      <c r="I9" s="4" t="s">
        <v>27</v>
      </c>
      <c r="J9" s="4" t="s">
        <v>72</v>
      </c>
      <c r="K9" s="4" t="s">
        <v>68</v>
      </c>
      <c r="L9" s="4" t="s">
        <v>73</v>
      </c>
      <c r="M9" s="4" t="s">
        <v>31</v>
      </c>
      <c r="N9" s="4" t="s">
        <v>74</v>
      </c>
      <c r="O9" s="5" t="s">
        <v>34</v>
      </c>
      <c r="P9" s="5" t="s">
        <v>34</v>
      </c>
      <c r="Q9" s="5" t="s">
        <v>35</v>
      </c>
      <c r="R9" s="5" t="s">
        <v>35</v>
      </c>
      <c r="S9" s="6" t="s">
        <v>35</v>
      </c>
      <c r="T9" s="6" t="s">
        <v>35</v>
      </c>
    </row>
    <row r="10" spans="1:20" ht="15.45">
      <c r="A10" s="4">
        <v>9</v>
      </c>
      <c r="B10" s="5" t="s">
        <v>64</v>
      </c>
      <c r="C10" s="4" t="s">
        <v>75</v>
      </c>
      <c r="D10" s="4" t="s">
        <v>22</v>
      </c>
      <c r="E10" s="4" t="s">
        <v>76</v>
      </c>
      <c r="F10" s="4" t="s">
        <v>24</v>
      </c>
      <c r="G10" s="7">
        <v>44579</v>
      </c>
      <c r="H10" s="4" t="s">
        <v>44</v>
      </c>
      <c r="I10" s="4" t="s">
        <v>27</v>
      </c>
      <c r="J10" s="4" t="s">
        <v>27</v>
      </c>
      <c r="K10" s="4" t="s">
        <v>68</v>
      </c>
      <c r="L10" s="4" t="s">
        <v>45</v>
      </c>
      <c r="M10" s="4" t="s">
        <v>46</v>
      </c>
      <c r="N10" s="4" t="s">
        <v>46</v>
      </c>
      <c r="O10" s="5" t="s">
        <v>46</v>
      </c>
      <c r="P10" s="5" t="s">
        <v>41</v>
      </c>
      <c r="Q10" s="5" t="s">
        <v>35</v>
      </c>
      <c r="R10" s="5" t="s">
        <v>35</v>
      </c>
      <c r="S10" s="6" t="s">
        <v>36</v>
      </c>
      <c r="T10" s="6" t="s">
        <v>36</v>
      </c>
    </row>
    <row r="11" spans="1:20" ht="15.45">
      <c r="A11" s="4">
        <v>10</v>
      </c>
      <c r="B11" s="5" t="s">
        <v>64</v>
      </c>
      <c r="C11" s="4" t="s">
        <v>77</v>
      </c>
      <c r="D11" s="4" t="s">
        <v>22</v>
      </c>
      <c r="E11" s="4" t="s">
        <v>78</v>
      </c>
      <c r="F11" s="4" t="s">
        <v>24</v>
      </c>
      <c r="G11" s="4" t="s">
        <v>60</v>
      </c>
      <c r="H11" s="4" t="s">
        <v>26</v>
      </c>
      <c r="I11" s="4" t="s">
        <v>27</v>
      </c>
      <c r="J11" s="4" t="s">
        <v>67</v>
      </c>
      <c r="K11" s="4" t="s">
        <v>68</v>
      </c>
      <c r="L11" s="4" t="s">
        <v>73</v>
      </c>
      <c r="M11" s="4" t="s">
        <v>79</v>
      </c>
      <c r="N11" s="4" t="s">
        <v>46</v>
      </c>
      <c r="O11" s="5" t="s">
        <v>46</v>
      </c>
      <c r="P11" s="5" t="s">
        <v>63</v>
      </c>
      <c r="Q11" s="5" t="s">
        <v>35</v>
      </c>
      <c r="R11" s="5" t="s">
        <v>35</v>
      </c>
      <c r="S11" s="6" t="s">
        <v>35</v>
      </c>
      <c r="T11" s="6" t="s">
        <v>36</v>
      </c>
    </row>
    <row r="12" spans="1:20" ht="15.45">
      <c r="A12" s="4">
        <v>11</v>
      </c>
      <c r="B12" s="4" t="s">
        <v>80</v>
      </c>
      <c r="C12" s="4" t="s">
        <v>81</v>
      </c>
      <c r="D12" s="4" t="s">
        <v>82</v>
      </c>
      <c r="E12" s="4" t="s">
        <v>83</v>
      </c>
      <c r="F12" s="4" t="s">
        <v>24</v>
      </c>
      <c r="G12" s="7">
        <v>44579</v>
      </c>
      <c r="H12" s="4" t="s">
        <v>44</v>
      </c>
      <c r="I12" s="4" t="s">
        <v>84</v>
      </c>
      <c r="J12" s="4" t="s">
        <v>84</v>
      </c>
      <c r="K12" s="4" t="s">
        <v>85</v>
      </c>
      <c r="L12" s="4" t="s">
        <v>45</v>
      </c>
      <c r="M12" s="4" t="s">
        <v>46</v>
      </c>
      <c r="N12" s="4" t="s">
        <v>46</v>
      </c>
      <c r="O12" s="5" t="s">
        <v>46</v>
      </c>
      <c r="P12" s="5" t="s">
        <v>33</v>
      </c>
      <c r="Q12" s="5" t="s">
        <v>36</v>
      </c>
      <c r="R12" s="5" t="s">
        <v>36</v>
      </c>
      <c r="S12" s="6" t="s">
        <v>36</v>
      </c>
      <c r="T12" s="6" t="s">
        <v>36</v>
      </c>
    </row>
    <row r="13" spans="1:20" ht="15.45">
      <c r="A13" s="4">
        <v>12</v>
      </c>
      <c r="B13" s="4" t="s">
        <v>80</v>
      </c>
      <c r="C13" s="4" t="s">
        <v>86</v>
      </c>
      <c r="D13" s="4" t="s">
        <v>82</v>
      </c>
      <c r="E13" s="4" t="s">
        <v>87</v>
      </c>
      <c r="F13" s="4" t="s">
        <v>24</v>
      </c>
      <c r="G13" s="4" t="s">
        <v>25</v>
      </c>
      <c r="H13" s="4" t="s">
        <v>26</v>
      </c>
      <c r="I13" s="4" t="s">
        <v>84</v>
      </c>
      <c r="J13" s="4" t="s">
        <v>88</v>
      </c>
      <c r="K13" s="4" t="s">
        <v>85</v>
      </c>
      <c r="L13" s="4" t="s">
        <v>89</v>
      </c>
      <c r="M13" s="4" t="s">
        <v>79</v>
      </c>
      <c r="N13" s="4" t="s">
        <v>46</v>
      </c>
      <c r="O13" s="5" t="s">
        <v>46</v>
      </c>
      <c r="P13" s="5" t="s">
        <v>41</v>
      </c>
      <c r="Q13" s="5" t="s">
        <v>36</v>
      </c>
      <c r="R13" s="5" t="s">
        <v>36</v>
      </c>
      <c r="S13" s="6" t="s">
        <v>36</v>
      </c>
      <c r="T13" s="6" t="s">
        <v>36</v>
      </c>
    </row>
    <row r="14" spans="1:20" ht="15.45">
      <c r="A14" s="4">
        <v>13</v>
      </c>
      <c r="B14" s="4" t="s">
        <v>80</v>
      </c>
      <c r="C14" s="4" t="s">
        <v>90</v>
      </c>
      <c r="D14" s="4" t="s">
        <v>82</v>
      </c>
      <c r="E14" s="4" t="s">
        <v>91</v>
      </c>
      <c r="F14" s="4" t="s">
        <v>24</v>
      </c>
      <c r="G14" s="4" t="s">
        <v>51</v>
      </c>
      <c r="H14" s="4" t="s">
        <v>44</v>
      </c>
      <c r="I14" s="4" t="s">
        <v>84</v>
      </c>
      <c r="J14" s="4" t="s">
        <v>88</v>
      </c>
      <c r="K14" s="4" t="s">
        <v>85</v>
      </c>
      <c r="L14" s="4" t="s">
        <v>53</v>
      </c>
      <c r="M14" s="4" t="s">
        <v>46</v>
      </c>
      <c r="N14" s="4" t="s">
        <v>46</v>
      </c>
      <c r="O14" s="5" t="s">
        <v>46</v>
      </c>
      <c r="P14" s="5" t="s">
        <v>41</v>
      </c>
      <c r="Q14" s="5" t="s">
        <v>36</v>
      </c>
      <c r="R14" s="5" t="s">
        <v>36</v>
      </c>
      <c r="S14" s="6" t="s">
        <v>36</v>
      </c>
      <c r="T14" s="6" t="s">
        <v>36</v>
      </c>
    </row>
    <row r="15" spans="1:20" ht="15.45">
      <c r="A15" s="5">
        <v>14</v>
      </c>
      <c r="B15" s="5" t="s">
        <v>92</v>
      </c>
      <c r="C15" s="5" t="s">
        <v>93</v>
      </c>
      <c r="D15" s="4" t="s">
        <v>82</v>
      </c>
      <c r="E15" s="5" t="s">
        <v>94</v>
      </c>
      <c r="F15" s="5" t="s">
        <v>24</v>
      </c>
      <c r="G15" s="5" t="s">
        <v>51</v>
      </c>
      <c r="H15" s="5" t="s">
        <v>26</v>
      </c>
      <c r="I15" s="5" t="s">
        <v>95</v>
      </c>
      <c r="J15" s="5" t="s">
        <v>28</v>
      </c>
      <c r="K15" s="5" t="s">
        <v>52</v>
      </c>
      <c r="L15" s="5" t="s">
        <v>30</v>
      </c>
      <c r="M15" s="5" t="s">
        <v>31</v>
      </c>
      <c r="N15" s="5" t="s">
        <v>96</v>
      </c>
      <c r="O15" s="5" t="s">
        <v>41</v>
      </c>
      <c r="P15" s="5" t="s">
        <v>41</v>
      </c>
      <c r="Q15" s="5" t="s">
        <v>36</v>
      </c>
      <c r="R15" s="5" t="s">
        <v>36</v>
      </c>
      <c r="S15" s="6" t="s">
        <v>36</v>
      </c>
      <c r="T15" s="6" t="s">
        <v>36</v>
      </c>
    </row>
    <row r="16" spans="1:20" ht="15.45">
      <c r="A16" s="5">
        <v>15</v>
      </c>
      <c r="B16" s="5" t="s">
        <v>92</v>
      </c>
      <c r="C16" s="5" t="s">
        <v>97</v>
      </c>
      <c r="D16" s="4" t="s">
        <v>82</v>
      </c>
      <c r="E16" s="5" t="s">
        <v>98</v>
      </c>
      <c r="F16" s="5" t="s">
        <v>39</v>
      </c>
      <c r="G16" s="5" t="s">
        <v>51</v>
      </c>
      <c r="H16" s="5" t="s">
        <v>26</v>
      </c>
      <c r="I16" s="5" t="s">
        <v>95</v>
      </c>
      <c r="J16" s="5" t="s">
        <v>28</v>
      </c>
      <c r="K16" s="5" t="s">
        <v>52</v>
      </c>
      <c r="L16" s="5" t="s">
        <v>30</v>
      </c>
      <c r="M16" s="5" t="s">
        <v>31</v>
      </c>
      <c r="N16" s="4" t="s">
        <v>62</v>
      </c>
      <c r="O16" s="5" t="s">
        <v>33</v>
      </c>
      <c r="P16" s="5" t="s">
        <v>41</v>
      </c>
      <c r="Q16" s="5" t="s">
        <v>36</v>
      </c>
      <c r="R16" s="5" t="s">
        <v>36</v>
      </c>
      <c r="S16" s="6" t="s">
        <v>36</v>
      </c>
      <c r="T16" s="6" t="s">
        <v>36</v>
      </c>
    </row>
    <row r="17" spans="1:20" ht="15.45">
      <c r="A17" s="5">
        <v>16</v>
      </c>
      <c r="B17" s="5" t="s">
        <v>99</v>
      </c>
      <c r="C17" s="5" t="s">
        <v>100</v>
      </c>
      <c r="D17" s="4" t="s">
        <v>82</v>
      </c>
      <c r="E17" s="5" t="s">
        <v>101</v>
      </c>
      <c r="F17" s="5" t="s">
        <v>39</v>
      </c>
      <c r="G17" s="5" t="s">
        <v>51</v>
      </c>
      <c r="H17" s="5" t="s">
        <v>44</v>
      </c>
      <c r="I17" s="5" t="s">
        <v>95</v>
      </c>
      <c r="J17" s="5" t="s">
        <v>28</v>
      </c>
      <c r="K17" s="5" t="s">
        <v>52</v>
      </c>
      <c r="L17" s="5" t="s">
        <v>30</v>
      </c>
      <c r="M17" s="5" t="s">
        <v>31</v>
      </c>
      <c r="N17" s="5" t="s">
        <v>62</v>
      </c>
      <c r="O17" s="5" t="s">
        <v>41</v>
      </c>
      <c r="P17" s="5" t="s">
        <v>47</v>
      </c>
      <c r="Q17" s="5" t="s">
        <v>36</v>
      </c>
      <c r="R17" s="5" t="s">
        <v>36</v>
      </c>
      <c r="S17" s="6" t="s">
        <v>36</v>
      </c>
      <c r="T17" s="6" t="s">
        <v>36</v>
      </c>
    </row>
    <row r="18" spans="1:20" ht="15.45">
      <c r="A18" s="5">
        <v>17</v>
      </c>
      <c r="B18" s="5" t="s">
        <v>99</v>
      </c>
      <c r="C18" s="5" t="s">
        <v>102</v>
      </c>
      <c r="D18" s="4" t="s">
        <v>82</v>
      </c>
      <c r="E18" s="5" t="s">
        <v>103</v>
      </c>
      <c r="F18" s="5" t="s">
        <v>39</v>
      </c>
      <c r="G18" s="9">
        <v>44579</v>
      </c>
      <c r="H18" s="5" t="s">
        <v>44</v>
      </c>
      <c r="I18" s="5" t="s">
        <v>28</v>
      </c>
      <c r="J18" s="5" t="s">
        <v>28</v>
      </c>
      <c r="K18" s="5" t="s">
        <v>104</v>
      </c>
      <c r="L18" s="5" t="s">
        <v>53</v>
      </c>
      <c r="M18" s="5" t="s">
        <v>46</v>
      </c>
      <c r="N18" s="5" t="s">
        <v>46</v>
      </c>
      <c r="O18" s="5" t="s">
        <v>46</v>
      </c>
      <c r="P18" s="5" t="s">
        <v>41</v>
      </c>
      <c r="Q18" s="5" t="s">
        <v>36</v>
      </c>
      <c r="R18" s="5" t="s">
        <v>36</v>
      </c>
      <c r="S18" s="6" t="s">
        <v>36</v>
      </c>
      <c r="T18" s="6" t="s">
        <v>36</v>
      </c>
    </row>
    <row r="19" spans="1:20" ht="15.45">
      <c r="A19" s="5">
        <v>18</v>
      </c>
      <c r="B19" s="5" t="s">
        <v>99</v>
      </c>
      <c r="C19" s="5" t="s">
        <v>105</v>
      </c>
      <c r="D19" s="4" t="s">
        <v>82</v>
      </c>
      <c r="E19" s="5" t="s">
        <v>106</v>
      </c>
      <c r="F19" s="5" t="s">
        <v>39</v>
      </c>
      <c r="G19" s="5" t="s">
        <v>60</v>
      </c>
      <c r="H19" s="5" t="s">
        <v>26</v>
      </c>
      <c r="I19" s="5" t="s">
        <v>27</v>
      </c>
      <c r="J19" s="5" t="s">
        <v>28</v>
      </c>
      <c r="K19" s="5" t="s">
        <v>52</v>
      </c>
      <c r="L19" s="5" t="s">
        <v>107</v>
      </c>
      <c r="M19" s="5" t="s">
        <v>79</v>
      </c>
      <c r="N19" s="5" t="s">
        <v>46</v>
      </c>
      <c r="O19" s="5" t="s">
        <v>46</v>
      </c>
      <c r="P19" s="5" t="s">
        <v>41</v>
      </c>
      <c r="Q19" s="5" t="s">
        <v>35</v>
      </c>
      <c r="R19" s="5" t="s">
        <v>35</v>
      </c>
      <c r="S19" s="6" t="s">
        <v>36</v>
      </c>
      <c r="T19" s="6" t="s">
        <v>36</v>
      </c>
    </row>
    <row r="20" spans="1:20" ht="15.45">
      <c r="A20" s="5">
        <v>19</v>
      </c>
      <c r="B20" s="5" t="s">
        <v>108</v>
      </c>
      <c r="C20" s="5" t="s">
        <v>109</v>
      </c>
      <c r="D20" s="4" t="s">
        <v>82</v>
      </c>
      <c r="E20" s="5" t="s">
        <v>110</v>
      </c>
      <c r="F20" s="5" t="s">
        <v>24</v>
      </c>
      <c r="G20" s="5" t="s">
        <v>51</v>
      </c>
      <c r="H20" s="5" t="s">
        <v>44</v>
      </c>
      <c r="I20" s="5" t="s">
        <v>88</v>
      </c>
      <c r="J20" s="5" t="s">
        <v>111</v>
      </c>
      <c r="K20" s="5" t="s">
        <v>85</v>
      </c>
      <c r="L20" s="5" t="s">
        <v>53</v>
      </c>
      <c r="M20" s="5" t="s">
        <v>46</v>
      </c>
      <c r="N20" s="5" t="s">
        <v>46</v>
      </c>
      <c r="O20" s="5" t="s">
        <v>46</v>
      </c>
      <c r="P20" s="5" t="s">
        <v>47</v>
      </c>
      <c r="Q20" s="5" t="s">
        <v>36</v>
      </c>
      <c r="R20" s="5" t="s">
        <v>36</v>
      </c>
      <c r="S20" s="6" t="s">
        <v>36</v>
      </c>
      <c r="T20" s="6" t="s">
        <v>36</v>
      </c>
    </row>
    <row r="21" spans="1:20" ht="15.45">
      <c r="A21" s="5">
        <v>20</v>
      </c>
      <c r="B21" s="5" t="s">
        <v>108</v>
      </c>
      <c r="C21" s="5" t="s">
        <v>112</v>
      </c>
      <c r="D21" s="4" t="s">
        <v>82</v>
      </c>
      <c r="E21" s="5" t="s">
        <v>113</v>
      </c>
      <c r="F21" s="5" t="s">
        <v>39</v>
      </c>
      <c r="G21" s="5" t="s">
        <v>25</v>
      </c>
      <c r="H21" s="5" t="s">
        <v>26</v>
      </c>
      <c r="I21" s="5" t="s">
        <v>88</v>
      </c>
      <c r="J21" s="5" t="s">
        <v>111</v>
      </c>
      <c r="K21" s="5" t="s">
        <v>85</v>
      </c>
      <c r="L21" s="5" t="s">
        <v>30</v>
      </c>
      <c r="M21" s="5" t="s">
        <v>31</v>
      </c>
      <c r="N21" s="5" t="s">
        <v>32</v>
      </c>
      <c r="O21" s="5" t="s">
        <v>47</v>
      </c>
      <c r="P21" s="5" t="s">
        <v>41</v>
      </c>
      <c r="Q21" s="5" t="s">
        <v>35</v>
      </c>
      <c r="R21" s="5" t="s">
        <v>35</v>
      </c>
      <c r="S21" s="6" t="s">
        <v>36</v>
      </c>
      <c r="T21" s="6" t="s">
        <v>36</v>
      </c>
    </row>
    <row r="22" spans="1:20" ht="15.45">
      <c r="A22" s="5">
        <v>21</v>
      </c>
      <c r="B22" s="5" t="s">
        <v>108</v>
      </c>
      <c r="C22" s="5" t="s">
        <v>114</v>
      </c>
      <c r="D22" s="4" t="s">
        <v>82</v>
      </c>
      <c r="E22" s="5" t="s">
        <v>115</v>
      </c>
      <c r="F22" s="5" t="s">
        <v>24</v>
      </c>
      <c r="G22" s="5" t="s">
        <v>25</v>
      </c>
      <c r="H22" s="5" t="s">
        <v>26</v>
      </c>
      <c r="I22" s="5" t="s">
        <v>88</v>
      </c>
      <c r="J22" s="5" t="s">
        <v>116</v>
      </c>
      <c r="K22" s="5" t="s">
        <v>85</v>
      </c>
      <c r="L22" s="5" t="s">
        <v>107</v>
      </c>
      <c r="M22" s="5" t="s">
        <v>79</v>
      </c>
      <c r="N22" s="5" t="s">
        <v>46</v>
      </c>
      <c r="O22" s="5" t="s">
        <v>46</v>
      </c>
      <c r="P22" s="5" t="s">
        <v>41</v>
      </c>
      <c r="Q22" s="5" t="s">
        <v>35</v>
      </c>
      <c r="R22" s="5" t="s">
        <v>35</v>
      </c>
      <c r="S22" s="6" t="s">
        <v>36</v>
      </c>
      <c r="T22" s="6" t="s">
        <v>36</v>
      </c>
    </row>
    <row r="23" spans="1:20" ht="15.45">
      <c r="A23" s="5">
        <v>22</v>
      </c>
      <c r="B23" s="5" t="s">
        <v>117</v>
      </c>
      <c r="C23" s="5" t="s">
        <v>118</v>
      </c>
      <c r="D23" s="5" t="s">
        <v>119</v>
      </c>
      <c r="E23" s="5" t="s">
        <v>120</v>
      </c>
      <c r="F23" s="5" t="s">
        <v>24</v>
      </c>
      <c r="G23" s="5" t="s">
        <v>25</v>
      </c>
      <c r="H23" s="5" t="s">
        <v>26</v>
      </c>
      <c r="I23" s="5" t="s">
        <v>88</v>
      </c>
      <c r="J23" s="5" t="s">
        <v>27</v>
      </c>
      <c r="K23" s="5" t="s">
        <v>29</v>
      </c>
      <c r="L23" s="5" t="s">
        <v>89</v>
      </c>
      <c r="M23" s="5" t="s">
        <v>79</v>
      </c>
      <c r="N23" s="5" t="s">
        <v>46</v>
      </c>
      <c r="O23" s="5" t="s">
        <v>46</v>
      </c>
      <c r="P23" s="5" t="s">
        <v>41</v>
      </c>
      <c r="Q23" s="5" t="s">
        <v>36</v>
      </c>
      <c r="R23" s="5" t="s">
        <v>36</v>
      </c>
      <c r="S23" s="6" t="s">
        <v>36</v>
      </c>
      <c r="T23" s="6" t="s">
        <v>36</v>
      </c>
    </row>
    <row r="24" spans="1:20" ht="15.45">
      <c r="A24" s="5">
        <v>23</v>
      </c>
      <c r="B24" s="5" t="s">
        <v>117</v>
      </c>
      <c r="C24" s="5" t="s">
        <v>121</v>
      </c>
      <c r="D24" s="5" t="s">
        <v>119</v>
      </c>
      <c r="E24" s="5" t="s">
        <v>122</v>
      </c>
      <c r="F24" s="5" t="s">
        <v>39</v>
      </c>
      <c r="G24" s="5" t="s">
        <v>25</v>
      </c>
      <c r="H24" s="5" t="s">
        <v>26</v>
      </c>
      <c r="I24" s="5" t="s">
        <v>88</v>
      </c>
      <c r="J24" s="5" t="s">
        <v>27</v>
      </c>
      <c r="K24" s="5" t="s">
        <v>29</v>
      </c>
      <c r="L24" s="5" t="s">
        <v>107</v>
      </c>
      <c r="M24" s="5" t="s">
        <v>31</v>
      </c>
      <c r="N24" s="5" t="s">
        <v>57</v>
      </c>
      <c r="O24" s="5" t="s">
        <v>33</v>
      </c>
      <c r="P24" s="5" t="s">
        <v>41</v>
      </c>
      <c r="Q24" s="5" t="s">
        <v>36</v>
      </c>
      <c r="R24" s="5" t="s">
        <v>36</v>
      </c>
      <c r="S24" s="6" t="s">
        <v>36</v>
      </c>
      <c r="T24" s="6" t="s">
        <v>36</v>
      </c>
    </row>
    <row r="25" spans="1:20" ht="15.45">
      <c r="A25" s="5">
        <v>24</v>
      </c>
      <c r="B25" s="5" t="s">
        <v>117</v>
      </c>
      <c r="C25" s="5" t="s">
        <v>123</v>
      </c>
      <c r="D25" s="5" t="s">
        <v>119</v>
      </c>
      <c r="E25" s="5" t="s">
        <v>124</v>
      </c>
      <c r="F25" s="5" t="s">
        <v>24</v>
      </c>
      <c r="G25" s="5" t="s">
        <v>25</v>
      </c>
      <c r="H25" s="5" t="s">
        <v>26</v>
      </c>
      <c r="I25" s="5" t="s">
        <v>125</v>
      </c>
      <c r="J25" s="5" t="s">
        <v>88</v>
      </c>
      <c r="K25" s="5" t="s">
        <v>29</v>
      </c>
      <c r="L25" s="5" t="s">
        <v>126</v>
      </c>
      <c r="M25" s="5" t="s">
        <v>31</v>
      </c>
      <c r="N25" s="5" t="s">
        <v>57</v>
      </c>
      <c r="O25" s="5" t="s">
        <v>47</v>
      </c>
      <c r="P25" s="5" t="s">
        <v>41</v>
      </c>
      <c r="Q25" s="5" t="s">
        <v>36</v>
      </c>
      <c r="R25" s="5" t="s">
        <v>36</v>
      </c>
      <c r="S25" s="6" t="s">
        <v>36</v>
      </c>
      <c r="T25" s="6" t="s">
        <v>36</v>
      </c>
    </row>
    <row r="26" spans="1:20" ht="15.45">
      <c r="A26" s="5">
        <v>25</v>
      </c>
      <c r="B26" s="5" t="s">
        <v>117</v>
      </c>
      <c r="C26" s="5" t="s">
        <v>127</v>
      </c>
      <c r="D26" s="5" t="s">
        <v>119</v>
      </c>
      <c r="E26" s="5" t="s">
        <v>128</v>
      </c>
      <c r="F26" s="5" t="s">
        <v>39</v>
      </c>
      <c r="G26" s="5" t="s">
        <v>25</v>
      </c>
      <c r="H26" s="5" t="s">
        <v>26</v>
      </c>
      <c r="I26" s="5" t="s">
        <v>84</v>
      </c>
      <c r="J26" s="5" t="s">
        <v>84</v>
      </c>
      <c r="K26" s="5" t="s">
        <v>29</v>
      </c>
      <c r="L26" s="5" t="s">
        <v>107</v>
      </c>
      <c r="M26" s="5" t="s">
        <v>31</v>
      </c>
      <c r="N26" s="5" t="s">
        <v>57</v>
      </c>
      <c r="O26" s="5" t="s">
        <v>33</v>
      </c>
      <c r="P26" s="5" t="s">
        <v>41</v>
      </c>
      <c r="Q26" s="5" t="s">
        <v>36</v>
      </c>
      <c r="R26" s="5" t="s">
        <v>36</v>
      </c>
      <c r="S26" s="6" t="s">
        <v>36</v>
      </c>
      <c r="T26" s="6" t="s">
        <v>36</v>
      </c>
    </row>
    <row r="27" spans="1:20" ht="15.45">
      <c r="A27" s="5">
        <v>26</v>
      </c>
      <c r="B27" s="5" t="s">
        <v>129</v>
      </c>
      <c r="C27" s="5" t="s">
        <v>130</v>
      </c>
      <c r="D27" s="5" t="s">
        <v>119</v>
      </c>
      <c r="E27" s="5" t="s">
        <v>131</v>
      </c>
      <c r="F27" s="5" t="s">
        <v>24</v>
      </c>
      <c r="G27" s="5" t="s">
        <v>25</v>
      </c>
      <c r="H27" s="5" t="s">
        <v>26</v>
      </c>
      <c r="I27" s="5" t="s">
        <v>84</v>
      </c>
      <c r="J27" s="5" t="s">
        <v>132</v>
      </c>
      <c r="K27" s="5" t="s">
        <v>85</v>
      </c>
      <c r="L27" s="5" t="s">
        <v>107</v>
      </c>
      <c r="M27" s="5" t="s">
        <v>31</v>
      </c>
      <c r="N27" s="5" t="s">
        <v>57</v>
      </c>
      <c r="O27" s="5" t="s">
        <v>41</v>
      </c>
      <c r="P27" s="5" t="s">
        <v>41</v>
      </c>
      <c r="Q27" s="5" t="s">
        <v>36</v>
      </c>
      <c r="R27" s="5" t="s">
        <v>36</v>
      </c>
      <c r="S27" s="6" t="s">
        <v>36</v>
      </c>
      <c r="T27" s="6" t="s">
        <v>36</v>
      </c>
    </row>
    <row r="28" spans="1:20" ht="15.45">
      <c r="A28" s="5">
        <v>27</v>
      </c>
      <c r="B28" s="5" t="s">
        <v>129</v>
      </c>
      <c r="C28" s="5" t="s">
        <v>133</v>
      </c>
      <c r="D28" s="5" t="s">
        <v>119</v>
      </c>
      <c r="E28" s="5" t="s">
        <v>134</v>
      </c>
      <c r="F28" s="5" t="s">
        <v>39</v>
      </c>
      <c r="G28" s="5" t="s">
        <v>51</v>
      </c>
      <c r="H28" s="5" t="s">
        <v>44</v>
      </c>
      <c r="I28" s="5" t="s">
        <v>84</v>
      </c>
      <c r="J28" s="5" t="s">
        <v>84</v>
      </c>
      <c r="K28" s="5" t="s">
        <v>85</v>
      </c>
      <c r="L28" s="5" t="s">
        <v>53</v>
      </c>
      <c r="M28" s="5" t="s">
        <v>46</v>
      </c>
      <c r="N28" s="5" t="s">
        <v>46</v>
      </c>
      <c r="O28" s="5" t="s">
        <v>46</v>
      </c>
      <c r="P28" s="5" t="s">
        <v>34</v>
      </c>
      <c r="Q28" s="5" t="s">
        <v>35</v>
      </c>
      <c r="R28" s="5" t="s">
        <v>35</v>
      </c>
      <c r="S28" s="6" t="s">
        <v>35</v>
      </c>
      <c r="T28" s="6" t="s">
        <v>36</v>
      </c>
    </row>
    <row r="29" spans="1:20" ht="15.45">
      <c r="A29" s="5">
        <v>28</v>
      </c>
      <c r="B29" s="5" t="s">
        <v>135</v>
      </c>
      <c r="C29" s="5" t="s">
        <v>136</v>
      </c>
      <c r="D29" s="5" t="s">
        <v>119</v>
      </c>
      <c r="E29" s="5" t="s">
        <v>137</v>
      </c>
      <c r="F29" s="5" t="s">
        <v>24</v>
      </c>
      <c r="G29" s="5" t="s">
        <v>25</v>
      </c>
      <c r="H29" s="5" t="s">
        <v>26</v>
      </c>
      <c r="I29" s="5" t="s">
        <v>88</v>
      </c>
      <c r="J29" s="10" t="s">
        <v>138</v>
      </c>
      <c r="K29" s="5" t="s">
        <v>139</v>
      </c>
      <c r="L29" s="5" t="s">
        <v>89</v>
      </c>
      <c r="M29" s="5" t="s">
        <v>46</v>
      </c>
      <c r="N29" s="5" t="s">
        <v>46</v>
      </c>
      <c r="O29" s="5" t="s">
        <v>46</v>
      </c>
      <c r="P29" s="5" t="s">
        <v>41</v>
      </c>
      <c r="Q29" s="5" t="s">
        <v>36</v>
      </c>
      <c r="R29" s="5" t="s">
        <v>36</v>
      </c>
      <c r="S29" s="6" t="s">
        <v>36</v>
      </c>
      <c r="T29" s="6" t="s">
        <v>36</v>
      </c>
    </row>
    <row r="30" spans="1:20" ht="15.45">
      <c r="A30" s="5">
        <v>29</v>
      </c>
      <c r="B30" s="5" t="s">
        <v>135</v>
      </c>
      <c r="C30" s="5" t="s">
        <v>140</v>
      </c>
      <c r="D30" s="5" t="s">
        <v>119</v>
      </c>
      <c r="E30" s="5" t="s">
        <v>141</v>
      </c>
      <c r="F30" s="5" t="s">
        <v>39</v>
      </c>
      <c r="G30" s="5" t="s">
        <v>25</v>
      </c>
      <c r="H30" s="5" t="s">
        <v>26</v>
      </c>
      <c r="I30" s="5" t="s">
        <v>88</v>
      </c>
      <c r="J30" s="5" t="s">
        <v>88</v>
      </c>
      <c r="K30" s="5" t="s">
        <v>29</v>
      </c>
      <c r="L30" s="5" t="s">
        <v>30</v>
      </c>
      <c r="M30" s="5" t="s">
        <v>31</v>
      </c>
      <c r="N30" s="5" t="s">
        <v>57</v>
      </c>
      <c r="O30" s="5" t="s">
        <v>33</v>
      </c>
      <c r="P30" s="5" t="s">
        <v>33</v>
      </c>
      <c r="Q30" s="5" t="s">
        <v>36</v>
      </c>
      <c r="R30" s="5" t="s">
        <v>36</v>
      </c>
      <c r="S30" s="6" t="s">
        <v>36</v>
      </c>
      <c r="T30" s="6" t="s">
        <v>36</v>
      </c>
    </row>
    <row r="31" spans="1:20">
      <c r="A31" s="5">
        <v>29</v>
      </c>
      <c r="B31" s="5" t="s">
        <v>142</v>
      </c>
      <c r="C31" s="5" t="s">
        <v>143</v>
      </c>
      <c r="D31" s="5" t="s">
        <v>119</v>
      </c>
      <c r="E31" s="5" t="s">
        <v>144</v>
      </c>
      <c r="F31" s="5" t="s">
        <v>24</v>
      </c>
      <c r="G31" s="5" t="s">
        <v>51</v>
      </c>
      <c r="H31" s="5" t="s">
        <v>44</v>
      </c>
      <c r="I31" s="5" t="s">
        <v>88</v>
      </c>
      <c r="J31" s="5" t="s">
        <v>88</v>
      </c>
      <c r="K31" s="5" t="s">
        <v>85</v>
      </c>
      <c r="L31" s="5" t="s">
        <v>53</v>
      </c>
      <c r="M31" s="5" t="s">
        <v>31</v>
      </c>
      <c r="N31" s="5" t="s">
        <v>145</v>
      </c>
      <c r="O31" s="5" t="s">
        <v>33</v>
      </c>
      <c r="P31" s="5" t="s">
        <v>41</v>
      </c>
      <c r="Q31" s="5" t="s">
        <v>35</v>
      </c>
      <c r="R31" s="5" t="s">
        <v>35</v>
      </c>
      <c r="S31" s="8" t="s">
        <v>35</v>
      </c>
      <c r="T31" s="8" t="s">
        <v>36</v>
      </c>
    </row>
    <row r="32" spans="1:20">
      <c r="A32" s="5">
        <v>30</v>
      </c>
      <c r="B32" s="5" t="s">
        <v>142</v>
      </c>
      <c r="C32" s="5" t="s">
        <v>146</v>
      </c>
      <c r="D32" s="5" t="s">
        <v>119</v>
      </c>
      <c r="E32" s="5" t="s">
        <v>147</v>
      </c>
      <c r="F32" s="5" t="s">
        <v>24</v>
      </c>
      <c r="G32" s="5" t="s">
        <v>51</v>
      </c>
      <c r="H32" s="5" t="s">
        <v>44</v>
      </c>
      <c r="I32" s="5" t="s">
        <v>88</v>
      </c>
      <c r="J32" s="5" t="s">
        <v>88</v>
      </c>
      <c r="K32" s="5" t="s">
        <v>85</v>
      </c>
      <c r="L32" s="5" t="s">
        <v>53</v>
      </c>
      <c r="M32" s="5" t="s">
        <v>31</v>
      </c>
      <c r="N32" s="5" t="s">
        <v>145</v>
      </c>
      <c r="O32" s="5" t="s">
        <v>33</v>
      </c>
      <c r="P32" s="5" t="s">
        <v>41</v>
      </c>
      <c r="Q32" s="5" t="s">
        <v>35</v>
      </c>
      <c r="R32" s="5" t="s">
        <v>35</v>
      </c>
      <c r="S32" s="8" t="s">
        <v>35</v>
      </c>
      <c r="T32" s="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51B4-1B49-4760-85BA-A1E534FFCF2F}">
  <dimension ref="A1:M32"/>
  <sheetViews>
    <sheetView topLeftCell="A26" workbookViewId="0">
      <selection activeCell="A2" sqref="A2:L32"/>
    </sheetView>
  </sheetViews>
  <sheetFormatPr defaultRowHeight="14.6"/>
  <sheetData>
    <row r="1" spans="1:13" ht="75">
      <c r="A1" s="11" t="s">
        <v>148</v>
      </c>
      <c r="B1" s="11" t="s">
        <v>149</v>
      </c>
      <c r="C1" s="11" t="s">
        <v>1</v>
      </c>
      <c r="D1" s="12" t="s">
        <v>150</v>
      </c>
      <c r="E1" s="11" t="s">
        <v>4</v>
      </c>
      <c r="F1" s="11" t="s">
        <v>5</v>
      </c>
      <c r="G1" s="11" t="s">
        <v>6</v>
      </c>
      <c r="H1" s="11" t="s">
        <v>151</v>
      </c>
      <c r="I1" s="11" t="s">
        <v>152</v>
      </c>
      <c r="J1" s="11" t="s">
        <v>153</v>
      </c>
      <c r="K1" s="11" t="s">
        <v>154</v>
      </c>
      <c r="L1" s="12" t="s">
        <v>155</v>
      </c>
      <c r="M1" s="13" t="s">
        <v>156</v>
      </c>
    </row>
    <row r="2" spans="1:13" ht="30.9">
      <c r="A2" s="14">
        <v>1</v>
      </c>
      <c r="B2" s="15"/>
      <c r="C2" s="15" t="s">
        <v>20</v>
      </c>
      <c r="D2" s="14" t="s">
        <v>157</v>
      </c>
      <c r="E2" s="15" t="s">
        <v>158</v>
      </c>
      <c r="F2" s="15" t="s">
        <v>39</v>
      </c>
      <c r="G2" s="15">
        <v>25</v>
      </c>
      <c r="H2" s="15" t="s">
        <v>26</v>
      </c>
      <c r="I2" s="15" t="s">
        <v>159</v>
      </c>
      <c r="J2" s="15" t="s">
        <v>160</v>
      </c>
      <c r="K2" s="15" t="s">
        <v>161</v>
      </c>
      <c r="L2" s="14" t="s">
        <v>162</v>
      </c>
      <c r="M2" s="16" t="s">
        <v>163</v>
      </c>
    </row>
    <row r="3" spans="1:13" ht="46.3">
      <c r="A3" s="14">
        <v>2</v>
      </c>
      <c r="B3" s="15"/>
      <c r="C3" s="15" t="s">
        <v>20</v>
      </c>
      <c r="D3" s="14" t="s">
        <v>157</v>
      </c>
      <c r="E3" s="15" t="s">
        <v>164</v>
      </c>
      <c r="F3" s="15" t="s">
        <v>24</v>
      </c>
      <c r="G3" s="15">
        <v>23</v>
      </c>
      <c r="H3" s="15" t="s">
        <v>26</v>
      </c>
      <c r="I3" s="15" t="s">
        <v>160</v>
      </c>
      <c r="J3" s="15" t="s">
        <v>160</v>
      </c>
      <c r="K3" s="15" t="s">
        <v>161</v>
      </c>
      <c r="L3" s="14" t="s">
        <v>165</v>
      </c>
      <c r="M3" s="16" t="s">
        <v>163</v>
      </c>
    </row>
    <row r="4" spans="1:13" ht="30.9">
      <c r="A4" s="14">
        <v>3</v>
      </c>
      <c r="B4" s="15"/>
      <c r="C4" s="15" t="s">
        <v>20</v>
      </c>
      <c r="D4" s="14" t="s">
        <v>157</v>
      </c>
      <c r="E4" s="15" t="s">
        <v>166</v>
      </c>
      <c r="F4" s="15" t="s">
        <v>39</v>
      </c>
      <c r="G4" s="15">
        <v>7</v>
      </c>
      <c r="H4" s="15" t="s">
        <v>44</v>
      </c>
      <c r="I4" s="15" t="s">
        <v>160</v>
      </c>
      <c r="J4" s="15" t="s">
        <v>159</v>
      </c>
      <c r="K4" s="15" t="s">
        <v>161</v>
      </c>
      <c r="L4" s="14" t="s">
        <v>162</v>
      </c>
      <c r="M4" s="16" t="s">
        <v>167</v>
      </c>
    </row>
    <row r="5" spans="1:13" ht="30.9">
      <c r="A5" s="14">
        <v>4</v>
      </c>
      <c r="B5" s="15"/>
      <c r="C5" s="15" t="s">
        <v>20</v>
      </c>
      <c r="D5" s="14" t="s">
        <v>157</v>
      </c>
      <c r="E5" s="15" t="s">
        <v>168</v>
      </c>
      <c r="F5" s="15" t="s">
        <v>39</v>
      </c>
      <c r="G5" s="15">
        <v>4</v>
      </c>
      <c r="H5" s="15" t="s">
        <v>44</v>
      </c>
      <c r="I5" s="15" t="s">
        <v>160</v>
      </c>
      <c r="J5" s="15" t="s">
        <v>159</v>
      </c>
      <c r="K5" s="15" t="s">
        <v>161</v>
      </c>
      <c r="L5" s="14" t="s">
        <v>167</v>
      </c>
      <c r="M5" s="16" t="s">
        <v>167</v>
      </c>
    </row>
    <row r="6" spans="1:13" ht="30.9">
      <c r="A6" s="14">
        <v>5</v>
      </c>
      <c r="B6" s="15"/>
      <c r="C6" s="15" t="s">
        <v>20</v>
      </c>
      <c r="D6" s="14" t="s">
        <v>157</v>
      </c>
      <c r="E6" s="15" t="s">
        <v>169</v>
      </c>
      <c r="F6" s="15" t="s">
        <v>24</v>
      </c>
      <c r="G6" s="15">
        <v>2</v>
      </c>
      <c r="H6" s="15" t="s">
        <v>44</v>
      </c>
      <c r="I6" s="15" t="s">
        <v>160</v>
      </c>
      <c r="J6" s="15" t="s">
        <v>159</v>
      </c>
      <c r="K6" s="15" t="s">
        <v>161</v>
      </c>
      <c r="L6" s="14" t="s">
        <v>167</v>
      </c>
      <c r="M6" s="16" t="s">
        <v>167</v>
      </c>
    </row>
    <row r="7" spans="1:13" ht="30.9">
      <c r="A7" s="14">
        <v>6</v>
      </c>
      <c r="B7" s="15"/>
      <c r="C7" s="15" t="s">
        <v>48</v>
      </c>
      <c r="D7" s="14" t="s">
        <v>157</v>
      </c>
      <c r="E7" s="15" t="s">
        <v>170</v>
      </c>
      <c r="F7" s="15" t="s">
        <v>39</v>
      </c>
      <c r="G7" s="15">
        <v>35</v>
      </c>
      <c r="H7" s="15" t="s">
        <v>26</v>
      </c>
      <c r="I7" s="15" t="s">
        <v>159</v>
      </c>
      <c r="J7" s="15" t="s">
        <v>171</v>
      </c>
      <c r="K7" s="15" t="s">
        <v>52</v>
      </c>
      <c r="L7" s="14" t="s">
        <v>172</v>
      </c>
      <c r="M7" s="16" t="s">
        <v>173</v>
      </c>
    </row>
    <row r="8" spans="1:13" ht="30.9">
      <c r="A8" s="14">
        <v>7</v>
      </c>
      <c r="B8" s="15"/>
      <c r="C8" s="15" t="s">
        <v>48</v>
      </c>
      <c r="D8" s="14" t="s">
        <v>157</v>
      </c>
      <c r="E8" s="15" t="s">
        <v>174</v>
      </c>
      <c r="F8" s="15" t="s">
        <v>24</v>
      </c>
      <c r="G8" s="15">
        <v>31</v>
      </c>
      <c r="H8" s="15" t="s">
        <v>26</v>
      </c>
      <c r="I8" s="15" t="s">
        <v>159</v>
      </c>
      <c r="J8" s="15" t="s">
        <v>171</v>
      </c>
      <c r="K8" s="15" t="s">
        <v>52</v>
      </c>
      <c r="L8" s="14" t="s">
        <v>172</v>
      </c>
      <c r="M8" s="16" t="s">
        <v>167</v>
      </c>
    </row>
    <row r="9" spans="1:13" ht="30.9">
      <c r="A9" s="14">
        <v>8</v>
      </c>
      <c r="B9" s="15"/>
      <c r="C9" s="15" t="s">
        <v>48</v>
      </c>
      <c r="D9" s="14" t="s">
        <v>157</v>
      </c>
      <c r="E9" s="15" t="s">
        <v>175</v>
      </c>
      <c r="F9" s="15" t="s">
        <v>24</v>
      </c>
      <c r="G9" s="15">
        <v>9</v>
      </c>
      <c r="H9" s="15" t="s">
        <v>44</v>
      </c>
      <c r="I9" s="15" t="s">
        <v>159</v>
      </c>
      <c r="J9" s="15" t="s">
        <v>159</v>
      </c>
      <c r="K9" s="15" t="s">
        <v>52</v>
      </c>
      <c r="L9" s="14" t="s">
        <v>162</v>
      </c>
      <c r="M9" s="16" t="s">
        <v>167</v>
      </c>
    </row>
    <row r="10" spans="1:13" ht="30.9">
      <c r="A10" s="14">
        <v>9</v>
      </c>
      <c r="B10" s="15"/>
      <c r="C10" s="15" t="s">
        <v>48</v>
      </c>
      <c r="D10" s="14" t="s">
        <v>157</v>
      </c>
      <c r="E10" s="15" t="s">
        <v>176</v>
      </c>
      <c r="F10" s="15" t="s">
        <v>39</v>
      </c>
      <c r="G10" s="15">
        <v>7</v>
      </c>
      <c r="H10" s="15" t="s">
        <v>44</v>
      </c>
      <c r="I10" s="15" t="s">
        <v>159</v>
      </c>
      <c r="J10" s="15" t="s">
        <v>159</v>
      </c>
      <c r="K10" s="15" t="s">
        <v>52</v>
      </c>
      <c r="L10" s="14" t="s">
        <v>162</v>
      </c>
      <c r="M10" s="16" t="s">
        <v>167</v>
      </c>
    </row>
    <row r="11" spans="1:13" ht="30.9">
      <c r="A11" s="14">
        <v>10</v>
      </c>
      <c r="B11" s="15"/>
      <c r="C11" s="15" t="s">
        <v>64</v>
      </c>
      <c r="D11" s="14" t="s">
        <v>157</v>
      </c>
      <c r="E11" s="15" t="s">
        <v>177</v>
      </c>
      <c r="F11" s="15" t="s">
        <v>24</v>
      </c>
      <c r="G11" s="15">
        <v>47</v>
      </c>
      <c r="H11" s="15" t="s">
        <v>26</v>
      </c>
      <c r="I11" s="15" t="s">
        <v>159</v>
      </c>
      <c r="J11" s="15" t="s">
        <v>159</v>
      </c>
      <c r="K11" s="15" t="s">
        <v>52</v>
      </c>
      <c r="L11" s="14" t="s">
        <v>178</v>
      </c>
      <c r="M11" s="16" t="s">
        <v>179</v>
      </c>
    </row>
    <row r="12" spans="1:13" ht="30.9">
      <c r="A12" s="14">
        <v>11</v>
      </c>
      <c r="B12" s="15"/>
      <c r="C12" s="15" t="s">
        <v>64</v>
      </c>
      <c r="D12" s="14" t="s">
        <v>157</v>
      </c>
      <c r="E12" s="15" t="s">
        <v>180</v>
      </c>
      <c r="F12" s="15" t="s">
        <v>39</v>
      </c>
      <c r="G12" s="15">
        <v>50</v>
      </c>
      <c r="H12" s="15" t="s">
        <v>26</v>
      </c>
      <c r="I12" s="15" t="s">
        <v>159</v>
      </c>
      <c r="J12" s="15" t="s">
        <v>159</v>
      </c>
      <c r="K12" s="15" t="s">
        <v>52</v>
      </c>
      <c r="L12" s="14" t="s">
        <v>178</v>
      </c>
      <c r="M12" s="16" t="s">
        <v>181</v>
      </c>
    </row>
    <row r="13" spans="1:13" ht="30.9">
      <c r="A13" s="14">
        <v>12</v>
      </c>
      <c r="B13" s="15"/>
      <c r="C13" s="15" t="s">
        <v>64</v>
      </c>
      <c r="D13" s="14" t="s">
        <v>157</v>
      </c>
      <c r="E13" s="15" t="s">
        <v>182</v>
      </c>
      <c r="F13" s="15" t="s">
        <v>39</v>
      </c>
      <c r="G13" s="15">
        <v>18</v>
      </c>
      <c r="H13" s="15" t="s">
        <v>44</v>
      </c>
      <c r="I13" s="15" t="s">
        <v>159</v>
      </c>
      <c r="J13" s="15" t="s">
        <v>159</v>
      </c>
      <c r="K13" s="15" t="s">
        <v>52</v>
      </c>
      <c r="L13" s="14" t="s">
        <v>183</v>
      </c>
      <c r="M13" s="16" t="s">
        <v>167</v>
      </c>
    </row>
    <row r="14" spans="1:13" ht="46.3">
      <c r="A14" s="14">
        <v>13</v>
      </c>
      <c r="B14" s="15">
        <v>627045112849</v>
      </c>
      <c r="C14" s="15" t="s">
        <v>64</v>
      </c>
      <c r="D14" s="14" t="s">
        <v>157</v>
      </c>
      <c r="E14" s="15" t="s">
        <v>184</v>
      </c>
      <c r="F14" s="15" t="s">
        <v>39</v>
      </c>
      <c r="G14" s="15">
        <v>14</v>
      </c>
      <c r="H14" s="15" t="s">
        <v>44</v>
      </c>
      <c r="I14" s="15" t="s">
        <v>159</v>
      </c>
      <c r="J14" s="15" t="s">
        <v>159</v>
      </c>
      <c r="K14" s="15" t="s">
        <v>52</v>
      </c>
      <c r="L14" s="14" t="s">
        <v>165</v>
      </c>
      <c r="M14" s="16" t="s">
        <v>167</v>
      </c>
    </row>
    <row r="15" spans="1:13" ht="30.9">
      <c r="A15" s="14">
        <v>14</v>
      </c>
      <c r="B15" s="15"/>
      <c r="C15" s="15" t="s">
        <v>80</v>
      </c>
      <c r="D15" s="14" t="s">
        <v>185</v>
      </c>
      <c r="E15" s="15" t="s">
        <v>186</v>
      </c>
      <c r="F15" s="15" t="s">
        <v>39</v>
      </c>
      <c r="G15" s="15">
        <v>19</v>
      </c>
      <c r="H15" s="15" t="s">
        <v>44</v>
      </c>
      <c r="I15" s="15" t="s">
        <v>187</v>
      </c>
      <c r="J15" s="15" t="s">
        <v>187</v>
      </c>
      <c r="K15" s="15" t="s">
        <v>85</v>
      </c>
      <c r="L15" s="14" t="s">
        <v>172</v>
      </c>
      <c r="M15" s="16" t="s">
        <v>167</v>
      </c>
    </row>
    <row r="16" spans="1:13" ht="30.9">
      <c r="A16" s="14">
        <v>15</v>
      </c>
      <c r="B16" s="15"/>
      <c r="C16" s="15" t="s">
        <v>80</v>
      </c>
      <c r="D16" s="14" t="s">
        <v>185</v>
      </c>
      <c r="E16" s="15" t="s">
        <v>188</v>
      </c>
      <c r="F16" s="15" t="s">
        <v>24</v>
      </c>
      <c r="G16" s="15">
        <v>44</v>
      </c>
      <c r="H16" s="15" t="s">
        <v>26</v>
      </c>
      <c r="I16" s="15" t="s">
        <v>187</v>
      </c>
      <c r="J16" s="15" t="s">
        <v>187</v>
      </c>
      <c r="K16" s="15" t="s">
        <v>85</v>
      </c>
      <c r="L16" s="14" t="s">
        <v>178</v>
      </c>
      <c r="M16" s="16" t="s">
        <v>179</v>
      </c>
    </row>
    <row r="17" spans="1:13" ht="30.9">
      <c r="A17" s="14">
        <v>16</v>
      </c>
      <c r="B17" s="15"/>
      <c r="C17" s="15" t="s">
        <v>80</v>
      </c>
      <c r="D17" s="14" t="s">
        <v>185</v>
      </c>
      <c r="E17" s="15" t="s">
        <v>189</v>
      </c>
      <c r="F17" s="15" t="s">
        <v>39</v>
      </c>
      <c r="G17" s="15">
        <v>46</v>
      </c>
      <c r="H17" s="15" t="s">
        <v>26</v>
      </c>
      <c r="I17" s="15" t="s">
        <v>187</v>
      </c>
      <c r="J17" s="15" t="s">
        <v>88</v>
      </c>
      <c r="K17" s="15" t="s">
        <v>85</v>
      </c>
      <c r="L17" s="14" t="s">
        <v>178</v>
      </c>
      <c r="M17" s="16" t="s">
        <v>179</v>
      </c>
    </row>
    <row r="18" spans="1:13" ht="46.3">
      <c r="A18" s="14">
        <v>17</v>
      </c>
      <c r="B18" s="15"/>
      <c r="C18" s="15" t="s">
        <v>80</v>
      </c>
      <c r="D18" s="14" t="s">
        <v>185</v>
      </c>
      <c r="E18" s="15" t="s">
        <v>190</v>
      </c>
      <c r="F18" s="15" t="s">
        <v>24</v>
      </c>
      <c r="G18" s="15">
        <v>14</v>
      </c>
      <c r="H18" s="15" t="s">
        <v>44</v>
      </c>
      <c r="I18" s="15" t="s">
        <v>187</v>
      </c>
      <c r="J18" s="15" t="s">
        <v>187</v>
      </c>
      <c r="K18" s="15" t="s">
        <v>85</v>
      </c>
      <c r="L18" s="14" t="s">
        <v>165</v>
      </c>
      <c r="M18" s="16" t="s">
        <v>167</v>
      </c>
    </row>
    <row r="19" spans="1:13" ht="30.9">
      <c r="A19" s="14">
        <v>18</v>
      </c>
      <c r="B19" s="15"/>
      <c r="C19" s="15" t="s">
        <v>92</v>
      </c>
      <c r="D19" s="14" t="s">
        <v>185</v>
      </c>
      <c r="E19" s="15" t="s">
        <v>191</v>
      </c>
      <c r="F19" s="15" t="s">
        <v>39</v>
      </c>
      <c r="G19" s="15">
        <v>58</v>
      </c>
      <c r="H19" s="15" t="s">
        <v>26</v>
      </c>
      <c r="I19" s="15" t="s">
        <v>187</v>
      </c>
      <c r="J19" s="15" t="s">
        <v>84</v>
      </c>
      <c r="K19" s="15" t="s">
        <v>192</v>
      </c>
      <c r="L19" s="14" t="s">
        <v>172</v>
      </c>
      <c r="M19" s="16" t="s">
        <v>193</v>
      </c>
    </row>
    <row r="20" spans="1:13" ht="30.9">
      <c r="A20" s="14">
        <v>19</v>
      </c>
      <c r="B20" s="15"/>
      <c r="C20" s="15" t="s">
        <v>92</v>
      </c>
      <c r="D20" s="14" t="s">
        <v>185</v>
      </c>
      <c r="E20" s="15" t="s">
        <v>194</v>
      </c>
      <c r="F20" s="15" t="s">
        <v>39</v>
      </c>
      <c r="G20" s="15">
        <v>54</v>
      </c>
      <c r="H20" s="15" t="s">
        <v>26</v>
      </c>
      <c r="I20" s="15" t="s">
        <v>187</v>
      </c>
      <c r="J20" s="15" t="s">
        <v>195</v>
      </c>
      <c r="K20" s="15" t="s">
        <v>192</v>
      </c>
      <c r="L20" s="14" t="s">
        <v>172</v>
      </c>
      <c r="M20" s="16" t="s">
        <v>167</v>
      </c>
    </row>
    <row r="21" spans="1:13" ht="30.9">
      <c r="A21" s="14">
        <v>20</v>
      </c>
      <c r="B21" s="15"/>
      <c r="C21" s="15" t="s">
        <v>92</v>
      </c>
      <c r="D21" s="14" t="s">
        <v>185</v>
      </c>
      <c r="E21" s="15" t="s">
        <v>196</v>
      </c>
      <c r="F21" s="15" t="s">
        <v>24</v>
      </c>
      <c r="G21" s="15">
        <v>18</v>
      </c>
      <c r="H21" s="15" t="s">
        <v>44</v>
      </c>
      <c r="I21" s="15" t="s">
        <v>187</v>
      </c>
      <c r="J21" s="15" t="s">
        <v>187</v>
      </c>
      <c r="K21" s="15" t="s">
        <v>192</v>
      </c>
      <c r="L21" s="14" t="s">
        <v>183</v>
      </c>
      <c r="M21" s="16" t="s">
        <v>167</v>
      </c>
    </row>
    <row r="22" spans="1:13" ht="46.3">
      <c r="A22" s="14">
        <v>21</v>
      </c>
      <c r="B22" s="15"/>
      <c r="C22" s="15" t="s">
        <v>92</v>
      </c>
      <c r="D22" s="14" t="s">
        <v>185</v>
      </c>
      <c r="E22" s="15" t="s">
        <v>197</v>
      </c>
      <c r="F22" s="15" t="s">
        <v>24</v>
      </c>
      <c r="G22" s="15">
        <v>15</v>
      </c>
      <c r="H22" s="15" t="s">
        <v>44</v>
      </c>
      <c r="I22" s="15" t="s">
        <v>187</v>
      </c>
      <c r="J22" s="15" t="s">
        <v>187</v>
      </c>
      <c r="K22" s="15" t="s">
        <v>192</v>
      </c>
      <c r="L22" s="14" t="s">
        <v>165</v>
      </c>
      <c r="M22" s="16" t="s">
        <v>167</v>
      </c>
    </row>
    <row r="23" spans="1:13" ht="30.9">
      <c r="A23" s="14">
        <v>22</v>
      </c>
      <c r="B23" s="15"/>
      <c r="C23" s="15" t="s">
        <v>99</v>
      </c>
      <c r="D23" s="14" t="s">
        <v>185</v>
      </c>
      <c r="E23" s="15" t="s">
        <v>198</v>
      </c>
      <c r="F23" s="15" t="s">
        <v>24</v>
      </c>
      <c r="G23" s="15">
        <v>30</v>
      </c>
      <c r="H23" s="15" t="s">
        <v>26</v>
      </c>
      <c r="I23" s="15" t="s">
        <v>187</v>
      </c>
      <c r="J23" s="15" t="s">
        <v>187</v>
      </c>
      <c r="K23" s="15" t="s">
        <v>85</v>
      </c>
      <c r="L23" s="14" t="s">
        <v>183</v>
      </c>
      <c r="M23" s="16" t="s">
        <v>163</v>
      </c>
    </row>
    <row r="24" spans="1:13" ht="30.9">
      <c r="A24" s="14">
        <v>23</v>
      </c>
      <c r="B24" s="15"/>
      <c r="C24" s="15" t="s">
        <v>99</v>
      </c>
      <c r="D24" s="14" t="s">
        <v>185</v>
      </c>
      <c r="E24" s="15" t="s">
        <v>199</v>
      </c>
      <c r="F24" s="15" t="s">
        <v>39</v>
      </c>
      <c r="G24" s="15">
        <v>34</v>
      </c>
      <c r="H24" s="15" t="s">
        <v>26</v>
      </c>
      <c r="I24" s="15" t="s">
        <v>187</v>
      </c>
      <c r="J24" s="15" t="s">
        <v>200</v>
      </c>
      <c r="K24" s="15" t="s">
        <v>85</v>
      </c>
      <c r="L24" s="14" t="s">
        <v>183</v>
      </c>
      <c r="M24" s="16" t="s">
        <v>163</v>
      </c>
    </row>
    <row r="25" spans="1:13" ht="30.9">
      <c r="A25" s="14">
        <v>24</v>
      </c>
      <c r="B25" s="15"/>
      <c r="C25" s="15" t="s">
        <v>99</v>
      </c>
      <c r="D25" s="14" t="s">
        <v>185</v>
      </c>
      <c r="E25" s="15" t="s">
        <v>201</v>
      </c>
      <c r="F25" s="15" t="s">
        <v>39</v>
      </c>
      <c r="G25" s="15">
        <v>7</v>
      </c>
      <c r="H25" s="15" t="s">
        <v>44</v>
      </c>
      <c r="I25" s="15" t="s">
        <v>187</v>
      </c>
      <c r="J25" s="15" t="s">
        <v>187</v>
      </c>
      <c r="K25" s="15" t="s">
        <v>85</v>
      </c>
      <c r="L25" s="14" t="s">
        <v>162</v>
      </c>
      <c r="M25" s="16" t="s">
        <v>167</v>
      </c>
    </row>
    <row r="26" spans="1:13" ht="30.9">
      <c r="A26" s="14">
        <v>25</v>
      </c>
      <c r="B26" s="15"/>
      <c r="C26" s="15" t="s">
        <v>108</v>
      </c>
      <c r="D26" s="14" t="s">
        <v>202</v>
      </c>
      <c r="E26" s="15" t="s">
        <v>203</v>
      </c>
      <c r="F26" s="15" t="s">
        <v>39</v>
      </c>
      <c r="G26" s="15">
        <v>47</v>
      </c>
      <c r="H26" s="15" t="s">
        <v>26</v>
      </c>
      <c r="I26" s="15" t="s">
        <v>27</v>
      </c>
      <c r="J26" s="15" t="s">
        <v>204</v>
      </c>
      <c r="K26" s="15" t="s">
        <v>205</v>
      </c>
      <c r="L26" s="14" t="s">
        <v>178</v>
      </c>
      <c r="M26" s="16" t="s">
        <v>206</v>
      </c>
    </row>
    <row r="27" spans="1:13" ht="30.9">
      <c r="A27" s="14">
        <v>26</v>
      </c>
      <c r="B27" s="15"/>
      <c r="C27" s="15" t="s">
        <v>108</v>
      </c>
      <c r="D27" s="14" t="s">
        <v>202</v>
      </c>
      <c r="E27" s="15" t="s">
        <v>207</v>
      </c>
      <c r="F27" s="15" t="s">
        <v>24</v>
      </c>
      <c r="G27" s="15">
        <v>45</v>
      </c>
      <c r="H27" s="15" t="s">
        <v>26</v>
      </c>
      <c r="I27" s="15" t="s">
        <v>27</v>
      </c>
      <c r="J27" s="15" t="s">
        <v>208</v>
      </c>
      <c r="K27" s="15" t="s">
        <v>205</v>
      </c>
      <c r="L27" s="14" t="s">
        <v>172</v>
      </c>
      <c r="M27" s="16" t="s">
        <v>173</v>
      </c>
    </row>
    <row r="28" spans="1:13" ht="30.9">
      <c r="A28" s="14">
        <v>27</v>
      </c>
      <c r="B28" s="15"/>
      <c r="C28" s="15" t="s">
        <v>108</v>
      </c>
      <c r="D28" s="14" t="s">
        <v>202</v>
      </c>
      <c r="E28" s="15" t="s">
        <v>209</v>
      </c>
      <c r="F28" s="15" t="s">
        <v>24</v>
      </c>
      <c r="G28" s="15">
        <v>10</v>
      </c>
      <c r="H28" s="15" t="s">
        <v>210</v>
      </c>
      <c r="I28" s="15" t="s">
        <v>27</v>
      </c>
      <c r="J28" s="15" t="s">
        <v>211</v>
      </c>
      <c r="K28" s="15" t="s">
        <v>52</v>
      </c>
      <c r="L28" s="14" t="s">
        <v>162</v>
      </c>
      <c r="M28" s="16" t="s">
        <v>167</v>
      </c>
    </row>
    <row r="29" spans="1:13" ht="30.9">
      <c r="A29" s="14">
        <v>28</v>
      </c>
      <c r="B29" s="15"/>
      <c r="C29" s="15" t="s">
        <v>117</v>
      </c>
      <c r="D29" s="14" t="s">
        <v>202</v>
      </c>
      <c r="E29" s="15" t="s">
        <v>212</v>
      </c>
      <c r="F29" s="15" t="s">
        <v>39</v>
      </c>
      <c r="G29" s="15">
        <v>78</v>
      </c>
      <c r="H29" s="15" t="s">
        <v>26</v>
      </c>
      <c r="I29" s="15" t="s">
        <v>204</v>
      </c>
      <c r="J29" s="15" t="s">
        <v>204</v>
      </c>
      <c r="K29" s="15" t="s">
        <v>205</v>
      </c>
      <c r="L29" s="14" t="s">
        <v>183</v>
      </c>
      <c r="M29" s="16" t="s">
        <v>167</v>
      </c>
    </row>
    <row r="30" spans="1:13" ht="46.3">
      <c r="A30" s="14">
        <v>29</v>
      </c>
      <c r="B30" s="15"/>
      <c r="C30" s="15" t="s">
        <v>117</v>
      </c>
      <c r="D30" s="14" t="s">
        <v>202</v>
      </c>
      <c r="E30" s="15" t="s">
        <v>213</v>
      </c>
      <c r="F30" s="15" t="s">
        <v>24</v>
      </c>
      <c r="G30" s="15">
        <v>73</v>
      </c>
      <c r="H30" s="15" t="s">
        <v>26</v>
      </c>
      <c r="I30" s="15" t="s">
        <v>204</v>
      </c>
      <c r="J30" s="15" t="s">
        <v>204</v>
      </c>
      <c r="K30" s="15" t="s">
        <v>205</v>
      </c>
      <c r="L30" s="14" t="s">
        <v>165</v>
      </c>
      <c r="M30" s="16" t="s">
        <v>167</v>
      </c>
    </row>
    <row r="31" spans="1:13" ht="30.9">
      <c r="A31" s="14">
        <v>30</v>
      </c>
      <c r="B31" s="15"/>
      <c r="C31" s="15" t="s">
        <v>129</v>
      </c>
      <c r="D31" s="14" t="s">
        <v>202</v>
      </c>
      <c r="E31" s="15" t="s">
        <v>214</v>
      </c>
      <c r="F31" s="15" t="s">
        <v>39</v>
      </c>
      <c r="G31" s="15">
        <v>48</v>
      </c>
      <c r="H31" s="15" t="s">
        <v>26</v>
      </c>
      <c r="I31" s="15" t="s">
        <v>215</v>
      </c>
      <c r="J31" s="15" t="s">
        <v>208</v>
      </c>
      <c r="K31" s="15" t="s">
        <v>104</v>
      </c>
      <c r="L31" s="14" t="s">
        <v>178</v>
      </c>
      <c r="M31" s="16" t="s">
        <v>181</v>
      </c>
    </row>
    <row r="32" spans="1:13" ht="30.9">
      <c r="A32" s="17">
        <v>31</v>
      </c>
      <c r="B32" s="18"/>
      <c r="C32" s="18" t="s">
        <v>129</v>
      </c>
      <c r="D32" s="17" t="s">
        <v>202</v>
      </c>
      <c r="E32" s="18" t="s">
        <v>216</v>
      </c>
      <c r="F32" s="18" t="s">
        <v>24</v>
      </c>
      <c r="G32" s="18">
        <v>44</v>
      </c>
      <c r="H32" s="18" t="s">
        <v>26</v>
      </c>
      <c r="I32" s="18" t="s">
        <v>215</v>
      </c>
      <c r="J32" s="18" t="s">
        <v>217</v>
      </c>
      <c r="K32" s="18" t="s">
        <v>104</v>
      </c>
      <c r="L32" s="17" t="s">
        <v>172</v>
      </c>
      <c r="M32" s="19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5102-5CCE-446B-B6D8-5D76E9FE8E7A}">
  <dimension ref="A1:N41"/>
  <sheetViews>
    <sheetView workbookViewId="0">
      <selection activeCell="A2" sqref="A2:M41"/>
    </sheetView>
  </sheetViews>
  <sheetFormatPr defaultRowHeight="14.6"/>
  <sheetData>
    <row r="1" spans="1:14">
      <c r="A1" s="20" t="s">
        <v>218</v>
      </c>
      <c r="B1" s="20" t="s">
        <v>1</v>
      </c>
      <c r="C1" s="20" t="s">
        <v>2</v>
      </c>
      <c r="D1" s="20" t="s">
        <v>219</v>
      </c>
      <c r="E1" s="20" t="s">
        <v>4</v>
      </c>
      <c r="F1" s="20" t="s">
        <v>5</v>
      </c>
      <c r="G1" s="20" t="s">
        <v>6</v>
      </c>
      <c r="H1" s="20" t="s">
        <v>220</v>
      </c>
      <c r="I1" s="20" t="s">
        <v>221</v>
      </c>
      <c r="J1" s="20" t="s">
        <v>222</v>
      </c>
      <c r="K1" s="20" t="s">
        <v>223</v>
      </c>
      <c r="L1" s="20" t="s">
        <v>224</v>
      </c>
      <c r="M1" s="20" t="s">
        <v>225</v>
      </c>
      <c r="N1" s="20" t="s">
        <v>226</v>
      </c>
    </row>
    <row r="2" spans="1:14">
      <c r="A2" s="21">
        <v>1</v>
      </c>
      <c r="B2" s="21" t="s">
        <v>129</v>
      </c>
      <c r="C2" s="21" t="s">
        <v>227</v>
      </c>
      <c r="D2" s="21" t="s">
        <v>228</v>
      </c>
      <c r="E2" s="21" t="s">
        <v>229</v>
      </c>
      <c r="F2" s="21" t="s">
        <v>39</v>
      </c>
      <c r="G2" s="21">
        <v>27</v>
      </c>
      <c r="H2" s="21" t="s">
        <v>26</v>
      </c>
      <c r="I2" s="21" t="s">
        <v>230</v>
      </c>
      <c r="J2" s="21" t="s">
        <v>230</v>
      </c>
      <c r="K2" s="21" t="s">
        <v>231</v>
      </c>
      <c r="L2" s="21" t="s">
        <v>232</v>
      </c>
      <c r="M2" s="21" t="s">
        <v>31</v>
      </c>
      <c r="N2" s="21">
        <v>15000</v>
      </c>
    </row>
    <row r="3" spans="1:14">
      <c r="A3" s="21">
        <v>2</v>
      </c>
      <c r="B3" s="21" t="s">
        <v>129</v>
      </c>
      <c r="C3" s="21" t="s">
        <v>233</v>
      </c>
      <c r="D3" s="21" t="s">
        <v>228</v>
      </c>
      <c r="E3" s="21" t="s">
        <v>234</v>
      </c>
      <c r="F3" s="21" t="s">
        <v>24</v>
      </c>
      <c r="G3" s="21">
        <v>25</v>
      </c>
      <c r="H3" s="21" t="s">
        <v>235</v>
      </c>
      <c r="I3" s="21" t="s">
        <v>230</v>
      </c>
      <c r="J3" s="21" t="s">
        <v>236</v>
      </c>
      <c r="K3" s="21" t="s">
        <v>231</v>
      </c>
      <c r="L3" s="21" t="s">
        <v>232</v>
      </c>
      <c r="M3" s="21" t="s">
        <v>237</v>
      </c>
      <c r="N3" s="21">
        <v>12000</v>
      </c>
    </row>
    <row r="4" spans="1:14">
      <c r="A4" s="21">
        <v>3</v>
      </c>
      <c r="B4" s="21" t="s">
        <v>129</v>
      </c>
      <c r="C4" s="21" t="s">
        <v>238</v>
      </c>
      <c r="D4" s="21" t="s">
        <v>228</v>
      </c>
      <c r="E4" s="21" t="s">
        <v>239</v>
      </c>
      <c r="F4" s="21" t="s">
        <v>240</v>
      </c>
      <c r="G4" s="21">
        <v>1</v>
      </c>
      <c r="H4" s="21" t="s">
        <v>241</v>
      </c>
      <c r="I4" s="21" t="s">
        <v>230</v>
      </c>
      <c r="J4" s="21" t="s">
        <v>230</v>
      </c>
      <c r="K4" s="21" t="s">
        <v>231</v>
      </c>
      <c r="L4" s="21" t="s">
        <v>167</v>
      </c>
      <c r="M4" s="21" t="s">
        <v>167</v>
      </c>
      <c r="N4" s="21" t="s">
        <v>167</v>
      </c>
    </row>
    <row r="5" spans="1:14">
      <c r="A5" s="21">
        <v>4</v>
      </c>
      <c r="B5" s="21" t="s">
        <v>242</v>
      </c>
      <c r="C5" s="21" t="s">
        <v>243</v>
      </c>
      <c r="D5" s="21" t="s">
        <v>228</v>
      </c>
      <c r="E5" s="21" t="s">
        <v>244</v>
      </c>
      <c r="F5" s="21" t="s">
        <v>39</v>
      </c>
      <c r="G5" s="21">
        <v>35</v>
      </c>
      <c r="H5" s="21" t="s">
        <v>235</v>
      </c>
      <c r="I5" s="21" t="s">
        <v>230</v>
      </c>
      <c r="J5" s="21" t="s">
        <v>230</v>
      </c>
      <c r="K5" s="21" t="s">
        <v>68</v>
      </c>
      <c r="L5" s="21" t="s">
        <v>245</v>
      </c>
      <c r="M5" s="21" t="s">
        <v>237</v>
      </c>
      <c r="N5" s="21">
        <v>625000</v>
      </c>
    </row>
    <row r="6" spans="1:14">
      <c r="A6" s="21">
        <v>5</v>
      </c>
      <c r="B6" s="21" t="s">
        <v>242</v>
      </c>
      <c r="C6" s="21" t="s">
        <v>246</v>
      </c>
      <c r="D6" s="21" t="s">
        <v>228</v>
      </c>
      <c r="E6" s="21" t="s">
        <v>247</v>
      </c>
      <c r="F6" s="21" t="s">
        <v>240</v>
      </c>
      <c r="G6" s="21">
        <v>33</v>
      </c>
      <c r="H6" s="21" t="s">
        <v>235</v>
      </c>
      <c r="I6" s="21" t="s">
        <v>230</v>
      </c>
      <c r="J6" s="21" t="s">
        <v>248</v>
      </c>
      <c r="K6" s="21" t="s">
        <v>231</v>
      </c>
      <c r="L6" s="21" t="s">
        <v>232</v>
      </c>
      <c r="M6" s="21" t="s">
        <v>167</v>
      </c>
      <c r="N6" s="21" t="s">
        <v>167</v>
      </c>
    </row>
    <row r="7" spans="1:14">
      <c r="A7" s="21">
        <v>6</v>
      </c>
      <c r="B7" s="21" t="s">
        <v>242</v>
      </c>
      <c r="C7" s="21" t="s">
        <v>249</v>
      </c>
      <c r="D7" s="21" t="s">
        <v>228</v>
      </c>
      <c r="E7" s="21" t="s">
        <v>250</v>
      </c>
      <c r="F7" s="21" t="s">
        <v>39</v>
      </c>
      <c r="G7" s="21">
        <v>5</v>
      </c>
      <c r="H7" s="21" t="s">
        <v>241</v>
      </c>
      <c r="I7" s="21" t="s">
        <v>230</v>
      </c>
      <c r="J7" s="21" t="s">
        <v>230</v>
      </c>
      <c r="K7" s="21" t="s">
        <v>68</v>
      </c>
      <c r="L7" s="21" t="s">
        <v>251</v>
      </c>
      <c r="M7" s="21" t="s">
        <v>167</v>
      </c>
      <c r="N7" s="21" t="s">
        <v>167</v>
      </c>
    </row>
    <row r="8" spans="1:14">
      <c r="A8" s="21">
        <v>7</v>
      </c>
      <c r="B8" s="21" t="s">
        <v>252</v>
      </c>
      <c r="C8" s="21" t="s">
        <v>253</v>
      </c>
      <c r="D8" s="21" t="s">
        <v>228</v>
      </c>
      <c r="E8" s="21" t="s">
        <v>254</v>
      </c>
      <c r="F8" s="21" t="s">
        <v>39</v>
      </c>
      <c r="G8" s="21">
        <v>57</v>
      </c>
      <c r="H8" s="21" t="s">
        <v>235</v>
      </c>
      <c r="I8" s="21" t="s">
        <v>255</v>
      </c>
      <c r="J8" s="21" t="s">
        <v>256</v>
      </c>
      <c r="K8" s="21" t="s">
        <v>231</v>
      </c>
      <c r="L8" s="21" t="s">
        <v>232</v>
      </c>
      <c r="M8" s="21" t="s">
        <v>237</v>
      </c>
      <c r="N8" s="21">
        <v>500000</v>
      </c>
    </row>
    <row r="9" spans="1:14">
      <c r="A9" s="21">
        <v>8</v>
      </c>
      <c r="B9" s="21" t="s">
        <v>252</v>
      </c>
      <c r="C9" s="21" t="s">
        <v>257</v>
      </c>
      <c r="D9" s="21" t="s">
        <v>228</v>
      </c>
      <c r="E9" s="21" t="s">
        <v>258</v>
      </c>
      <c r="F9" s="21" t="s">
        <v>24</v>
      </c>
      <c r="G9" s="21">
        <v>53</v>
      </c>
      <c r="H9" s="21" t="s">
        <v>235</v>
      </c>
      <c r="I9" s="21" t="s">
        <v>255</v>
      </c>
      <c r="J9" s="21" t="s">
        <v>259</v>
      </c>
      <c r="K9" s="21" t="s">
        <v>231</v>
      </c>
      <c r="L9" s="21" t="s">
        <v>232</v>
      </c>
      <c r="M9" s="21" t="s">
        <v>237</v>
      </c>
      <c r="N9" s="21">
        <v>35000</v>
      </c>
    </row>
    <row r="10" spans="1:14">
      <c r="A10" s="21">
        <v>9</v>
      </c>
      <c r="B10" s="21" t="s">
        <v>252</v>
      </c>
      <c r="C10" s="21" t="s">
        <v>260</v>
      </c>
      <c r="D10" s="21" t="s">
        <v>228</v>
      </c>
      <c r="E10" s="21" t="s">
        <v>261</v>
      </c>
      <c r="F10" s="21" t="s">
        <v>39</v>
      </c>
      <c r="G10" s="21">
        <v>26</v>
      </c>
      <c r="H10" s="21" t="s">
        <v>241</v>
      </c>
      <c r="I10" s="21" t="s">
        <v>262</v>
      </c>
      <c r="J10" s="21" t="s">
        <v>255</v>
      </c>
      <c r="K10" s="21" t="s">
        <v>231</v>
      </c>
      <c r="L10" s="21" t="s">
        <v>245</v>
      </c>
      <c r="M10" s="21" t="s">
        <v>237</v>
      </c>
      <c r="N10" s="21">
        <v>275000</v>
      </c>
    </row>
    <row r="11" spans="1:14">
      <c r="A11" s="21">
        <v>10</v>
      </c>
      <c r="B11" s="21" t="s">
        <v>252</v>
      </c>
      <c r="C11" s="21" t="s">
        <v>263</v>
      </c>
      <c r="D11" s="21" t="s">
        <v>228</v>
      </c>
      <c r="E11" s="21" t="s">
        <v>264</v>
      </c>
      <c r="F11" s="21" t="s">
        <v>240</v>
      </c>
      <c r="G11" s="21">
        <v>21</v>
      </c>
      <c r="H11" s="21" t="s">
        <v>241</v>
      </c>
      <c r="I11" s="21" t="s">
        <v>255</v>
      </c>
      <c r="J11" s="21" t="s">
        <v>255</v>
      </c>
      <c r="K11" s="21" t="s">
        <v>231</v>
      </c>
      <c r="L11" s="21" t="s">
        <v>232</v>
      </c>
      <c r="M11" s="21" t="s">
        <v>265</v>
      </c>
      <c r="N11" s="21" t="s">
        <v>167</v>
      </c>
    </row>
    <row r="12" spans="1:14">
      <c r="A12" s="21">
        <v>11</v>
      </c>
      <c r="B12" s="21" t="s">
        <v>266</v>
      </c>
      <c r="C12" s="21" t="s">
        <v>267</v>
      </c>
      <c r="D12" s="21" t="s">
        <v>228</v>
      </c>
      <c r="E12" s="21" t="s">
        <v>268</v>
      </c>
      <c r="F12" s="21" t="s">
        <v>39</v>
      </c>
      <c r="G12" s="21">
        <v>63</v>
      </c>
      <c r="H12" s="21" t="s">
        <v>235</v>
      </c>
      <c r="I12" s="21" t="s">
        <v>269</v>
      </c>
      <c r="J12" s="21" t="s">
        <v>256</v>
      </c>
      <c r="K12" s="21" t="s">
        <v>231</v>
      </c>
      <c r="L12" s="21" t="s">
        <v>270</v>
      </c>
      <c r="M12" s="21" t="s">
        <v>237</v>
      </c>
      <c r="N12" s="21">
        <v>35000</v>
      </c>
    </row>
    <row r="13" spans="1:14">
      <c r="A13" s="21">
        <v>12</v>
      </c>
      <c r="B13" s="21" t="s">
        <v>266</v>
      </c>
      <c r="C13" s="21" t="s">
        <v>271</v>
      </c>
      <c r="D13" s="21" t="s">
        <v>228</v>
      </c>
      <c r="E13" s="21" t="s">
        <v>272</v>
      </c>
      <c r="F13" s="21" t="s">
        <v>240</v>
      </c>
      <c r="G13" s="21">
        <v>57</v>
      </c>
      <c r="H13" s="21" t="s">
        <v>235</v>
      </c>
      <c r="I13" s="21" t="s">
        <v>269</v>
      </c>
      <c r="J13" s="21" t="s">
        <v>273</v>
      </c>
      <c r="K13" s="21" t="s">
        <v>231</v>
      </c>
      <c r="L13" s="21" t="s">
        <v>274</v>
      </c>
      <c r="M13" s="21" t="s">
        <v>265</v>
      </c>
      <c r="N13" s="21" t="s">
        <v>167</v>
      </c>
    </row>
    <row r="14" spans="1:14">
      <c r="A14" s="21">
        <v>13</v>
      </c>
      <c r="B14" s="21" t="s">
        <v>266</v>
      </c>
      <c r="C14" s="21" t="s">
        <v>275</v>
      </c>
      <c r="D14" s="21" t="s">
        <v>228</v>
      </c>
      <c r="E14" s="21" t="s">
        <v>276</v>
      </c>
      <c r="F14" s="21" t="s">
        <v>39</v>
      </c>
      <c r="G14" s="21">
        <v>34</v>
      </c>
      <c r="H14" s="21" t="s">
        <v>235</v>
      </c>
      <c r="I14" s="21" t="s">
        <v>277</v>
      </c>
      <c r="J14" s="21" t="s">
        <v>278</v>
      </c>
      <c r="K14" s="21" t="s">
        <v>68</v>
      </c>
      <c r="L14" s="21" t="s">
        <v>245</v>
      </c>
      <c r="M14" s="21" t="s">
        <v>237</v>
      </c>
      <c r="N14" s="21">
        <v>175000</v>
      </c>
    </row>
    <row r="15" spans="1:14">
      <c r="A15" s="21">
        <v>14</v>
      </c>
      <c r="B15" s="21" t="s">
        <v>266</v>
      </c>
      <c r="C15" s="21" t="s">
        <v>279</v>
      </c>
      <c r="D15" s="21" t="s">
        <v>228</v>
      </c>
      <c r="E15" s="21" t="s">
        <v>280</v>
      </c>
      <c r="F15" s="21" t="s">
        <v>24</v>
      </c>
      <c r="G15" s="21">
        <v>31</v>
      </c>
      <c r="H15" s="21" t="s">
        <v>235</v>
      </c>
      <c r="I15" s="21" t="s">
        <v>277</v>
      </c>
      <c r="J15" s="21" t="s">
        <v>281</v>
      </c>
      <c r="K15" s="21" t="s">
        <v>231</v>
      </c>
      <c r="L15" s="21" t="s">
        <v>232</v>
      </c>
      <c r="M15" s="21" t="s">
        <v>237</v>
      </c>
      <c r="N15" s="21">
        <v>100000</v>
      </c>
    </row>
    <row r="16" spans="1:14">
      <c r="A16" s="21">
        <v>15</v>
      </c>
      <c r="B16" s="21" t="s">
        <v>266</v>
      </c>
      <c r="C16" s="21" t="s">
        <v>282</v>
      </c>
      <c r="D16" s="21" t="s">
        <v>228</v>
      </c>
      <c r="E16" s="21" t="s">
        <v>283</v>
      </c>
      <c r="F16" s="21" t="s">
        <v>39</v>
      </c>
      <c r="G16" s="21">
        <v>5</v>
      </c>
      <c r="H16" s="21" t="s">
        <v>241</v>
      </c>
      <c r="I16" s="21" t="s">
        <v>284</v>
      </c>
      <c r="J16" s="21" t="s">
        <v>277</v>
      </c>
      <c r="K16" s="21" t="s">
        <v>231</v>
      </c>
      <c r="L16" s="21" t="s">
        <v>251</v>
      </c>
      <c r="M16" s="21" t="s">
        <v>265</v>
      </c>
      <c r="N16" s="21" t="s">
        <v>167</v>
      </c>
    </row>
    <row r="17" spans="1:14">
      <c r="A17" s="21">
        <v>16</v>
      </c>
      <c r="B17" s="21" t="s">
        <v>266</v>
      </c>
      <c r="C17" s="21" t="s">
        <v>285</v>
      </c>
      <c r="D17" s="21" t="s">
        <v>228</v>
      </c>
      <c r="E17" s="21" t="s">
        <v>286</v>
      </c>
      <c r="F17" s="21" t="s">
        <v>24</v>
      </c>
      <c r="G17" s="21">
        <v>5</v>
      </c>
      <c r="H17" s="21" t="s">
        <v>241</v>
      </c>
      <c r="I17" s="21" t="s">
        <v>277</v>
      </c>
      <c r="J17" s="21" t="s">
        <v>277</v>
      </c>
      <c r="K17" s="21" t="s">
        <v>231</v>
      </c>
      <c r="L17" s="21" t="s">
        <v>251</v>
      </c>
      <c r="M17" s="21" t="s">
        <v>265</v>
      </c>
      <c r="N17" s="21" t="s">
        <v>167</v>
      </c>
    </row>
    <row r="18" spans="1:14">
      <c r="A18" s="21">
        <v>17</v>
      </c>
      <c r="B18" s="21" t="s">
        <v>287</v>
      </c>
      <c r="C18" s="21" t="s">
        <v>288</v>
      </c>
      <c r="D18" s="21" t="s">
        <v>289</v>
      </c>
      <c r="E18" s="21" t="s">
        <v>290</v>
      </c>
      <c r="F18" s="21" t="s">
        <v>39</v>
      </c>
      <c r="G18" s="21">
        <v>44</v>
      </c>
      <c r="H18" s="21" t="s">
        <v>235</v>
      </c>
      <c r="I18" s="21" t="s">
        <v>291</v>
      </c>
      <c r="J18" s="21" t="s">
        <v>292</v>
      </c>
      <c r="K18" s="21" t="s">
        <v>293</v>
      </c>
      <c r="L18" s="21" t="s">
        <v>245</v>
      </c>
      <c r="M18" s="21" t="s">
        <v>237</v>
      </c>
      <c r="N18" s="21">
        <v>1600000</v>
      </c>
    </row>
    <row r="19" spans="1:14">
      <c r="A19" s="21">
        <v>18</v>
      </c>
      <c r="B19" s="21" t="s">
        <v>287</v>
      </c>
      <c r="C19" s="21" t="s">
        <v>294</v>
      </c>
      <c r="D19" s="21" t="s">
        <v>289</v>
      </c>
      <c r="E19" s="21" t="s">
        <v>295</v>
      </c>
      <c r="F19" s="21" t="s">
        <v>24</v>
      </c>
      <c r="G19" s="21">
        <v>46</v>
      </c>
      <c r="H19" s="21" t="s">
        <v>235</v>
      </c>
      <c r="I19" s="21" t="s">
        <v>291</v>
      </c>
      <c r="J19" s="21" t="s">
        <v>296</v>
      </c>
      <c r="K19" s="21" t="s">
        <v>297</v>
      </c>
      <c r="L19" s="21" t="s">
        <v>245</v>
      </c>
      <c r="M19" s="21" t="s">
        <v>237</v>
      </c>
      <c r="N19" s="21">
        <v>1200000</v>
      </c>
    </row>
    <row r="20" spans="1:14">
      <c r="A20" s="21">
        <v>19</v>
      </c>
      <c r="B20" s="21" t="s">
        <v>287</v>
      </c>
      <c r="C20" s="21" t="s">
        <v>298</v>
      </c>
      <c r="D20" s="21" t="s">
        <v>289</v>
      </c>
      <c r="E20" s="21" t="s">
        <v>299</v>
      </c>
      <c r="F20" s="21" t="s">
        <v>39</v>
      </c>
      <c r="G20" s="21">
        <v>9</v>
      </c>
      <c r="H20" s="21" t="s">
        <v>241</v>
      </c>
      <c r="I20" s="21" t="s">
        <v>291</v>
      </c>
      <c r="J20" s="21" t="s">
        <v>291</v>
      </c>
      <c r="K20" s="21" t="s">
        <v>300</v>
      </c>
      <c r="L20" s="21" t="s">
        <v>251</v>
      </c>
      <c r="M20" s="21" t="s">
        <v>167</v>
      </c>
      <c r="N20" s="21" t="s">
        <v>167</v>
      </c>
    </row>
    <row r="21" spans="1:14">
      <c r="A21" s="21">
        <v>20</v>
      </c>
      <c r="B21" s="21" t="s">
        <v>287</v>
      </c>
      <c r="C21" s="21" t="s">
        <v>301</v>
      </c>
      <c r="D21" s="21" t="s">
        <v>289</v>
      </c>
      <c r="E21" s="21" t="s">
        <v>302</v>
      </c>
      <c r="F21" s="21" t="s">
        <v>24</v>
      </c>
      <c r="G21" s="21">
        <v>72</v>
      </c>
      <c r="H21" s="21" t="s">
        <v>303</v>
      </c>
      <c r="I21" s="21" t="s">
        <v>291</v>
      </c>
      <c r="J21" s="21" t="s">
        <v>304</v>
      </c>
      <c r="K21" s="21" t="s">
        <v>293</v>
      </c>
      <c r="L21" s="21" t="s">
        <v>274</v>
      </c>
      <c r="M21" s="21" t="s">
        <v>167</v>
      </c>
      <c r="N21" s="21" t="s">
        <v>167</v>
      </c>
    </row>
    <row r="22" spans="1:14">
      <c r="A22" s="21">
        <v>21</v>
      </c>
      <c r="B22" s="21" t="s">
        <v>305</v>
      </c>
      <c r="C22" s="21" t="s">
        <v>306</v>
      </c>
      <c r="D22" s="21" t="s">
        <v>307</v>
      </c>
      <c r="E22" s="21" t="s">
        <v>308</v>
      </c>
      <c r="F22" s="21" t="s">
        <v>39</v>
      </c>
      <c r="G22" s="21">
        <v>51</v>
      </c>
      <c r="H22" s="21" t="s">
        <v>235</v>
      </c>
      <c r="I22" s="21" t="s">
        <v>309</v>
      </c>
      <c r="J22" s="21" t="s">
        <v>310</v>
      </c>
      <c r="K22" s="21" t="s">
        <v>311</v>
      </c>
      <c r="L22" s="21" t="s">
        <v>232</v>
      </c>
      <c r="M22" s="21" t="s">
        <v>237</v>
      </c>
      <c r="N22" s="21">
        <v>1000000</v>
      </c>
    </row>
    <row r="23" spans="1:14">
      <c r="A23" s="21">
        <v>22</v>
      </c>
      <c r="B23" s="21" t="s">
        <v>305</v>
      </c>
      <c r="C23" s="21" t="s">
        <v>312</v>
      </c>
      <c r="D23" s="21" t="s">
        <v>307</v>
      </c>
      <c r="E23" s="21" t="s">
        <v>313</v>
      </c>
      <c r="F23" s="21" t="s">
        <v>240</v>
      </c>
      <c r="G23" s="21">
        <v>51</v>
      </c>
      <c r="H23" s="21" t="s">
        <v>235</v>
      </c>
      <c r="I23" s="21" t="s">
        <v>309</v>
      </c>
      <c r="J23" s="21" t="s">
        <v>314</v>
      </c>
      <c r="K23" s="21" t="s">
        <v>85</v>
      </c>
      <c r="L23" s="21" t="s">
        <v>232</v>
      </c>
      <c r="M23" s="21" t="s">
        <v>237</v>
      </c>
      <c r="N23" s="21">
        <v>700000</v>
      </c>
    </row>
    <row r="24" spans="1:14">
      <c r="A24" s="21">
        <v>23</v>
      </c>
      <c r="B24" s="21" t="s">
        <v>305</v>
      </c>
      <c r="C24" s="21" t="s">
        <v>315</v>
      </c>
      <c r="D24" s="21" t="s">
        <v>307</v>
      </c>
      <c r="E24" s="21" t="s">
        <v>316</v>
      </c>
      <c r="F24" s="21" t="s">
        <v>240</v>
      </c>
      <c r="G24" s="21">
        <v>24</v>
      </c>
      <c r="H24" s="21" t="s">
        <v>241</v>
      </c>
      <c r="I24" s="21" t="s">
        <v>317</v>
      </c>
      <c r="J24" s="21" t="s">
        <v>309</v>
      </c>
      <c r="K24" s="21" t="s">
        <v>52</v>
      </c>
      <c r="L24" s="21" t="s">
        <v>245</v>
      </c>
      <c r="M24" s="21" t="s">
        <v>237</v>
      </c>
      <c r="N24" s="21">
        <v>400000</v>
      </c>
    </row>
    <row r="25" spans="1:14">
      <c r="A25" s="21">
        <v>24</v>
      </c>
      <c r="B25" s="21" t="s">
        <v>305</v>
      </c>
      <c r="C25" s="21" t="s">
        <v>318</v>
      </c>
      <c r="D25" s="21" t="s">
        <v>307</v>
      </c>
      <c r="E25" s="21" t="s">
        <v>319</v>
      </c>
      <c r="F25" s="21" t="s">
        <v>240</v>
      </c>
      <c r="G25" s="21">
        <v>21</v>
      </c>
      <c r="H25" s="21" t="s">
        <v>241</v>
      </c>
      <c r="I25" s="21" t="s">
        <v>320</v>
      </c>
      <c r="J25" s="21" t="s">
        <v>309</v>
      </c>
      <c r="K25" s="21" t="s">
        <v>52</v>
      </c>
      <c r="L25" s="21" t="s">
        <v>232</v>
      </c>
      <c r="M25" s="21" t="s">
        <v>167</v>
      </c>
      <c r="N25" s="21" t="s">
        <v>167</v>
      </c>
    </row>
    <row r="26" spans="1:14">
      <c r="A26" s="21">
        <v>25</v>
      </c>
      <c r="B26" s="21" t="s">
        <v>305</v>
      </c>
      <c r="C26" s="21" t="s">
        <v>321</v>
      </c>
      <c r="D26" s="21" t="s">
        <v>307</v>
      </c>
      <c r="E26" s="21" t="s">
        <v>322</v>
      </c>
      <c r="F26" s="21" t="s">
        <v>240</v>
      </c>
      <c r="G26" s="21">
        <v>78</v>
      </c>
      <c r="H26" s="21" t="s">
        <v>323</v>
      </c>
      <c r="I26" s="21" t="s">
        <v>309</v>
      </c>
      <c r="J26" s="21" t="s">
        <v>324</v>
      </c>
      <c r="K26" s="21" t="s">
        <v>297</v>
      </c>
      <c r="L26" s="21" t="s">
        <v>232</v>
      </c>
      <c r="M26" s="21" t="s">
        <v>325</v>
      </c>
      <c r="N26" s="21">
        <v>12000</v>
      </c>
    </row>
    <row r="27" spans="1:14">
      <c r="A27" s="21">
        <v>26</v>
      </c>
      <c r="B27" s="21" t="s">
        <v>326</v>
      </c>
      <c r="C27" s="21" t="s">
        <v>327</v>
      </c>
      <c r="D27" s="21" t="s">
        <v>307</v>
      </c>
      <c r="E27" s="21" t="s">
        <v>328</v>
      </c>
      <c r="F27" s="21" t="s">
        <v>39</v>
      </c>
      <c r="G27" s="21">
        <v>62</v>
      </c>
      <c r="H27" s="21" t="s">
        <v>235</v>
      </c>
      <c r="I27" s="21" t="s">
        <v>329</v>
      </c>
      <c r="J27" s="21" t="s">
        <v>330</v>
      </c>
      <c r="K27" s="21" t="s">
        <v>331</v>
      </c>
      <c r="L27" s="21" t="s">
        <v>270</v>
      </c>
      <c r="M27" s="21" t="s">
        <v>237</v>
      </c>
      <c r="N27" s="21">
        <v>70000</v>
      </c>
    </row>
    <row r="28" spans="1:14">
      <c r="A28" s="21">
        <v>27</v>
      </c>
      <c r="B28" s="21" t="s">
        <v>326</v>
      </c>
      <c r="C28" s="21" t="s">
        <v>332</v>
      </c>
      <c r="D28" s="21" t="s">
        <v>307</v>
      </c>
      <c r="E28" s="21" t="s">
        <v>333</v>
      </c>
      <c r="F28" s="21" t="s">
        <v>24</v>
      </c>
      <c r="G28" s="21">
        <v>59</v>
      </c>
      <c r="H28" s="21" t="s">
        <v>235</v>
      </c>
      <c r="I28" s="21" t="s">
        <v>334</v>
      </c>
      <c r="J28" s="21" t="s">
        <v>335</v>
      </c>
      <c r="K28" s="21" t="s">
        <v>336</v>
      </c>
      <c r="L28" s="21" t="s">
        <v>251</v>
      </c>
      <c r="M28" s="21" t="s">
        <v>237</v>
      </c>
      <c r="N28" s="21">
        <v>20000</v>
      </c>
    </row>
    <row r="29" spans="1:14">
      <c r="A29" s="21">
        <v>28</v>
      </c>
      <c r="B29" s="21" t="s">
        <v>326</v>
      </c>
      <c r="C29" s="21" t="s">
        <v>337</v>
      </c>
      <c r="D29" s="21" t="s">
        <v>307</v>
      </c>
      <c r="E29" s="21" t="s">
        <v>338</v>
      </c>
      <c r="F29" s="21" t="s">
        <v>39</v>
      </c>
      <c r="G29" s="21">
        <v>35</v>
      </c>
      <c r="H29" s="21" t="s">
        <v>235</v>
      </c>
      <c r="I29" s="21" t="s">
        <v>215</v>
      </c>
      <c r="J29" s="21" t="s">
        <v>334</v>
      </c>
      <c r="K29" s="21" t="s">
        <v>336</v>
      </c>
      <c r="L29" s="21" t="s">
        <v>245</v>
      </c>
      <c r="M29" s="21" t="s">
        <v>237</v>
      </c>
      <c r="N29" s="21">
        <v>1000000</v>
      </c>
    </row>
    <row r="30" spans="1:14">
      <c r="A30" s="21">
        <v>29</v>
      </c>
      <c r="B30" s="21" t="s">
        <v>326</v>
      </c>
      <c r="C30" s="21" t="s">
        <v>339</v>
      </c>
      <c r="D30" s="21" t="s">
        <v>307</v>
      </c>
      <c r="E30" s="21" t="s">
        <v>340</v>
      </c>
      <c r="F30" s="21" t="s">
        <v>24</v>
      </c>
      <c r="G30" s="21">
        <v>33</v>
      </c>
      <c r="H30" s="21" t="s">
        <v>235</v>
      </c>
      <c r="I30" s="21" t="s">
        <v>334</v>
      </c>
      <c r="J30" s="21" t="s">
        <v>341</v>
      </c>
      <c r="K30" s="21" t="s">
        <v>336</v>
      </c>
      <c r="L30" s="21" t="s">
        <v>232</v>
      </c>
      <c r="M30" s="21" t="s">
        <v>237</v>
      </c>
      <c r="N30" s="21">
        <v>150000</v>
      </c>
    </row>
    <row r="31" spans="1:14">
      <c r="A31" s="21">
        <v>30</v>
      </c>
      <c r="B31" s="21" t="s">
        <v>326</v>
      </c>
      <c r="C31" s="21" t="s">
        <v>342</v>
      </c>
      <c r="D31" s="21" t="s">
        <v>307</v>
      </c>
      <c r="E31" s="21" t="s">
        <v>343</v>
      </c>
      <c r="F31" s="21" t="s">
        <v>39</v>
      </c>
      <c r="G31" s="21">
        <v>6</v>
      </c>
      <c r="H31" s="21" t="s">
        <v>241</v>
      </c>
      <c r="I31" s="21" t="s">
        <v>334</v>
      </c>
      <c r="J31" s="21" t="s">
        <v>329</v>
      </c>
      <c r="K31" s="21" t="s">
        <v>336</v>
      </c>
      <c r="L31" s="21" t="s">
        <v>251</v>
      </c>
      <c r="M31" s="21" t="s">
        <v>167</v>
      </c>
      <c r="N31" s="21" t="s">
        <v>167</v>
      </c>
    </row>
    <row r="32" spans="1:14">
      <c r="A32" s="21">
        <v>31</v>
      </c>
      <c r="B32" s="21" t="s">
        <v>344</v>
      </c>
      <c r="C32" s="21" t="s">
        <v>345</v>
      </c>
      <c r="D32" s="21" t="s">
        <v>289</v>
      </c>
      <c r="E32" s="21" t="s">
        <v>346</v>
      </c>
      <c r="F32" s="21" t="s">
        <v>39</v>
      </c>
      <c r="G32" s="21">
        <v>42</v>
      </c>
      <c r="H32" s="21" t="s">
        <v>26</v>
      </c>
      <c r="I32" s="21" t="s">
        <v>347</v>
      </c>
      <c r="J32" s="21" t="s">
        <v>348</v>
      </c>
      <c r="K32" s="21" t="s">
        <v>52</v>
      </c>
      <c r="L32" s="21" t="s">
        <v>245</v>
      </c>
      <c r="M32" s="21" t="s">
        <v>31</v>
      </c>
      <c r="N32" s="21">
        <v>800000</v>
      </c>
    </row>
    <row r="33" spans="1:14">
      <c r="A33" s="21">
        <v>32</v>
      </c>
      <c r="B33" s="21" t="s">
        <v>344</v>
      </c>
      <c r="C33" s="21" t="s">
        <v>349</v>
      </c>
      <c r="D33" s="21" t="s">
        <v>289</v>
      </c>
      <c r="E33" s="21" t="s">
        <v>350</v>
      </c>
      <c r="F33" s="21" t="s">
        <v>24</v>
      </c>
      <c r="G33" s="21">
        <v>41</v>
      </c>
      <c r="H33" s="21" t="s">
        <v>26</v>
      </c>
      <c r="I33" s="21" t="s">
        <v>347</v>
      </c>
      <c r="J33" s="21" t="s">
        <v>351</v>
      </c>
      <c r="K33" s="21" t="s">
        <v>52</v>
      </c>
      <c r="L33" s="21" t="s">
        <v>245</v>
      </c>
      <c r="M33" s="21" t="s">
        <v>237</v>
      </c>
      <c r="N33" s="21">
        <v>350000</v>
      </c>
    </row>
    <row r="34" spans="1:14">
      <c r="A34" s="21">
        <v>33</v>
      </c>
      <c r="B34" s="21" t="s">
        <v>344</v>
      </c>
      <c r="C34" s="21" t="s">
        <v>352</v>
      </c>
      <c r="D34" s="21" t="s">
        <v>289</v>
      </c>
      <c r="E34" s="21" t="s">
        <v>353</v>
      </c>
      <c r="F34" s="21" t="s">
        <v>24</v>
      </c>
      <c r="G34" s="21">
        <v>12</v>
      </c>
      <c r="H34" s="21" t="s">
        <v>44</v>
      </c>
      <c r="I34" s="21" t="s">
        <v>347</v>
      </c>
      <c r="J34" s="21" t="s">
        <v>347</v>
      </c>
      <c r="K34" s="21" t="s">
        <v>52</v>
      </c>
      <c r="L34" s="21" t="s">
        <v>251</v>
      </c>
      <c r="M34" s="21" t="s">
        <v>167</v>
      </c>
      <c r="N34" s="21" t="s">
        <v>167</v>
      </c>
    </row>
    <row r="35" spans="1:14">
      <c r="A35" s="21">
        <v>34</v>
      </c>
      <c r="B35" s="21" t="s">
        <v>354</v>
      </c>
      <c r="C35" s="21" t="s">
        <v>355</v>
      </c>
      <c r="D35" s="21" t="s">
        <v>307</v>
      </c>
      <c r="E35" s="21" t="s">
        <v>356</v>
      </c>
      <c r="F35" s="21" t="s">
        <v>39</v>
      </c>
      <c r="G35" s="21">
        <v>53</v>
      </c>
      <c r="H35" s="21" t="s">
        <v>26</v>
      </c>
      <c r="I35" s="21" t="s">
        <v>357</v>
      </c>
      <c r="J35" s="21" t="s">
        <v>358</v>
      </c>
      <c r="K35" s="21" t="s">
        <v>29</v>
      </c>
      <c r="L35" s="21" t="s">
        <v>232</v>
      </c>
      <c r="M35" s="21" t="s">
        <v>31</v>
      </c>
      <c r="N35" s="21">
        <v>800000</v>
      </c>
    </row>
    <row r="36" spans="1:14">
      <c r="A36" s="21">
        <v>35</v>
      </c>
      <c r="B36" s="21" t="s">
        <v>354</v>
      </c>
      <c r="C36" s="21" t="s">
        <v>359</v>
      </c>
      <c r="D36" s="21" t="s">
        <v>307</v>
      </c>
      <c r="E36" s="21" t="s">
        <v>360</v>
      </c>
      <c r="F36" s="21" t="s">
        <v>24</v>
      </c>
      <c r="G36" s="21">
        <v>46</v>
      </c>
      <c r="H36" s="21" t="s">
        <v>26</v>
      </c>
      <c r="I36" s="21" t="s">
        <v>357</v>
      </c>
      <c r="J36" s="21" t="s">
        <v>361</v>
      </c>
      <c r="K36" s="21" t="s">
        <v>29</v>
      </c>
      <c r="L36" s="21" t="s">
        <v>232</v>
      </c>
      <c r="M36" s="21" t="s">
        <v>265</v>
      </c>
      <c r="N36" s="21" t="s">
        <v>167</v>
      </c>
    </row>
    <row r="37" spans="1:14">
      <c r="A37" s="21">
        <v>36</v>
      </c>
      <c r="B37" s="21" t="s">
        <v>354</v>
      </c>
      <c r="C37" s="21" t="s">
        <v>362</v>
      </c>
      <c r="D37" s="21" t="s">
        <v>307</v>
      </c>
      <c r="E37" s="21" t="s">
        <v>363</v>
      </c>
      <c r="F37" s="21" t="s">
        <v>24</v>
      </c>
      <c r="G37" s="21">
        <v>21</v>
      </c>
      <c r="H37" s="21" t="s">
        <v>44</v>
      </c>
      <c r="I37" s="21" t="s">
        <v>309</v>
      </c>
      <c r="J37" s="21" t="s">
        <v>361</v>
      </c>
      <c r="K37" s="21" t="s">
        <v>29</v>
      </c>
      <c r="L37" s="21" t="s">
        <v>270</v>
      </c>
      <c r="M37" s="21" t="s">
        <v>265</v>
      </c>
      <c r="N37" s="21" t="s">
        <v>167</v>
      </c>
    </row>
    <row r="38" spans="1:14">
      <c r="A38" s="21">
        <v>37</v>
      </c>
      <c r="B38" s="21" t="s">
        <v>364</v>
      </c>
      <c r="C38" s="21" t="s">
        <v>365</v>
      </c>
      <c r="D38" s="21" t="s">
        <v>289</v>
      </c>
      <c r="E38" s="21" t="s">
        <v>366</v>
      </c>
      <c r="F38" s="21" t="s">
        <v>39</v>
      </c>
      <c r="G38" s="21">
        <v>30</v>
      </c>
      <c r="H38" s="21" t="s">
        <v>26</v>
      </c>
      <c r="I38" s="21" t="s">
        <v>367</v>
      </c>
      <c r="J38" s="21" t="s">
        <v>368</v>
      </c>
      <c r="K38" s="21" t="s">
        <v>68</v>
      </c>
      <c r="L38" s="21" t="s">
        <v>270</v>
      </c>
      <c r="M38" s="21" t="s">
        <v>31</v>
      </c>
      <c r="N38" s="21">
        <v>8000</v>
      </c>
    </row>
    <row r="39" spans="1:14">
      <c r="A39" s="21">
        <v>38</v>
      </c>
      <c r="B39" s="21" t="s">
        <v>364</v>
      </c>
      <c r="C39" s="21" t="s">
        <v>369</v>
      </c>
      <c r="D39" s="21" t="s">
        <v>289</v>
      </c>
      <c r="E39" s="21" t="s">
        <v>370</v>
      </c>
      <c r="F39" s="21" t="s">
        <v>24</v>
      </c>
      <c r="G39" s="21">
        <v>27</v>
      </c>
      <c r="H39" s="21" t="s">
        <v>26</v>
      </c>
      <c r="I39" s="21" t="s">
        <v>367</v>
      </c>
      <c r="J39" s="21" t="s">
        <v>371</v>
      </c>
      <c r="K39" s="21" t="s">
        <v>68</v>
      </c>
      <c r="L39" s="21" t="s">
        <v>270</v>
      </c>
      <c r="M39" s="21" t="s">
        <v>31</v>
      </c>
      <c r="N39" s="21">
        <v>6000</v>
      </c>
    </row>
    <row r="40" spans="1:14">
      <c r="A40" s="21">
        <v>39</v>
      </c>
      <c r="B40" s="21" t="s">
        <v>364</v>
      </c>
      <c r="C40" s="21" t="s">
        <v>372</v>
      </c>
      <c r="D40" s="21" t="s">
        <v>289</v>
      </c>
      <c r="E40" s="21" t="s">
        <v>373</v>
      </c>
      <c r="F40" s="21" t="s">
        <v>39</v>
      </c>
      <c r="G40" s="21">
        <v>5</v>
      </c>
      <c r="H40" s="21" t="s">
        <v>44</v>
      </c>
      <c r="I40" s="21" t="s">
        <v>367</v>
      </c>
      <c r="J40" s="21" t="s">
        <v>367</v>
      </c>
      <c r="K40" s="21" t="s">
        <v>68</v>
      </c>
      <c r="L40" s="21" t="s">
        <v>251</v>
      </c>
      <c r="M40" s="21" t="s">
        <v>167</v>
      </c>
      <c r="N40" s="21" t="s">
        <v>167</v>
      </c>
    </row>
    <row r="41" spans="1:14">
      <c r="A41" s="21">
        <v>40</v>
      </c>
      <c r="B41" s="21" t="s">
        <v>364</v>
      </c>
      <c r="C41" s="21" t="s">
        <v>374</v>
      </c>
      <c r="D41" s="21" t="s">
        <v>289</v>
      </c>
      <c r="E41" s="21" t="s">
        <v>375</v>
      </c>
      <c r="F41" s="21" t="s">
        <v>24</v>
      </c>
      <c r="G41" s="21">
        <v>1</v>
      </c>
      <c r="H41" s="21" t="s">
        <v>44</v>
      </c>
      <c r="I41" s="21" t="s">
        <v>367</v>
      </c>
      <c r="J41" s="21" t="s">
        <v>371</v>
      </c>
      <c r="K41" s="21" t="s">
        <v>68</v>
      </c>
      <c r="L41" s="21" t="s">
        <v>376</v>
      </c>
      <c r="M41" s="21" t="s">
        <v>167</v>
      </c>
      <c r="N41" s="21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99FB-32B6-43EF-806E-FF1A983AD2AA}">
  <dimension ref="A1:P42"/>
  <sheetViews>
    <sheetView workbookViewId="0">
      <selection activeCell="A2" sqref="A2:O41"/>
    </sheetView>
  </sheetViews>
  <sheetFormatPr defaultRowHeight="14.6"/>
  <sheetData>
    <row r="1" spans="1:16" ht="15.9" thickBot="1">
      <c r="A1" s="22" t="s">
        <v>377</v>
      </c>
      <c r="B1" s="22" t="s">
        <v>378</v>
      </c>
      <c r="C1" s="22" t="s">
        <v>1</v>
      </c>
      <c r="D1" s="22" t="s">
        <v>2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152</v>
      </c>
      <c r="J1" s="22" t="s">
        <v>222</v>
      </c>
      <c r="K1" s="22" t="s">
        <v>379</v>
      </c>
      <c r="L1" s="22" t="s">
        <v>380</v>
      </c>
      <c r="M1" s="23" t="s">
        <v>381</v>
      </c>
      <c r="N1" s="22" t="s">
        <v>382</v>
      </c>
      <c r="O1" s="22" t="s">
        <v>383</v>
      </c>
      <c r="P1" s="22" t="s">
        <v>384</v>
      </c>
    </row>
    <row r="2" spans="1:16" ht="15.45">
      <c r="A2" s="24">
        <v>1</v>
      </c>
      <c r="B2" s="25" t="s">
        <v>385</v>
      </c>
      <c r="C2" s="25">
        <v>1</v>
      </c>
      <c r="D2" s="25" t="s">
        <v>386</v>
      </c>
      <c r="E2" s="25" t="s">
        <v>387</v>
      </c>
      <c r="F2" s="25" t="s">
        <v>24</v>
      </c>
      <c r="G2" s="25">
        <v>19</v>
      </c>
      <c r="H2" s="25" t="s">
        <v>44</v>
      </c>
      <c r="I2" s="25" t="s">
        <v>388</v>
      </c>
      <c r="J2" s="25" t="s">
        <v>389</v>
      </c>
      <c r="K2" s="25" t="s">
        <v>390</v>
      </c>
      <c r="L2" s="25" t="s">
        <v>391</v>
      </c>
      <c r="M2" s="26">
        <v>6</v>
      </c>
      <c r="N2" s="25" t="s">
        <v>392</v>
      </c>
      <c r="O2" s="25" t="s">
        <v>393</v>
      </c>
      <c r="P2" s="27" t="s">
        <v>392</v>
      </c>
    </row>
    <row r="3" spans="1:16" ht="15.45">
      <c r="A3" s="24">
        <v>2</v>
      </c>
      <c r="B3" s="25" t="s">
        <v>385</v>
      </c>
      <c r="C3" s="25">
        <v>1</v>
      </c>
      <c r="D3" s="25" t="s">
        <v>394</v>
      </c>
      <c r="E3" s="25" t="s">
        <v>395</v>
      </c>
      <c r="F3" s="25" t="s">
        <v>24</v>
      </c>
      <c r="G3" s="25">
        <v>46</v>
      </c>
      <c r="H3" s="25" t="s">
        <v>26</v>
      </c>
      <c r="I3" s="25" t="s">
        <v>389</v>
      </c>
      <c r="J3" s="25" t="s">
        <v>389</v>
      </c>
      <c r="K3" s="25" t="s">
        <v>390</v>
      </c>
      <c r="L3" s="25" t="s">
        <v>391</v>
      </c>
      <c r="M3" s="26">
        <v>6</v>
      </c>
      <c r="N3" s="25" t="s">
        <v>392</v>
      </c>
      <c r="O3" s="25" t="s">
        <v>393</v>
      </c>
      <c r="P3" s="27" t="s">
        <v>392</v>
      </c>
    </row>
    <row r="4" spans="1:16" ht="15.45">
      <c r="A4" s="24">
        <v>3</v>
      </c>
      <c r="B4" s="25" t="s">
        <v>385</v>
      </c>
      <c r="C4" s="25">
        <v>1</v>
      </c>
      <c r="D4" s="25" t="s">
        <v>396</v>
      </c>
      <c r="E4" s="25" t="s">
        <v>397</v>
      </c>
      <c r="F4" s="25" t="s">
        <v>39</v>
      </c>
      <c r="G4" s="25">
        <v>50</v>
      </c>
      <c r="H4" s="25" t="s">
        <v>26</v>
      </c>
      <c r="I4" s="25" t="s">
        <v>389</v>
      </c>
      <c r="J4" s="25" t="s">
        <v>389</v>
      </c>
      <c r="K4" s="25" t="s">
        <v>390</v>
      </c>
      <c r="L4" s="25" t="s">
        <v>391</v>
      </c>
      <c r="M4" s="26">
        <v>6</v>
      </c>
      <c r="N4" s="25" t="s">
        <v>398</v>
      </c>
      <c r="O4" s="25" t="s">
        <v>393</v>
      </c>
      <c r="P4" s="27" t="s">
        <v>399</v>
      </c>
    </row>
    <row r="5" spans="1:16" ht="15.45">
      <c r="A5" s="24">
        <v>4</v>
      </c>
      <c r="B5" s="25" t="s">
        <v>385</v>
      </c>
      <c r="C5" s="25">
        <v>1</v>
      </c>
      <c r="D5" s="25" t="s">
        <v>400</v>
      </c>
      <c r="E5" s="25" t="s">
        <v>401</v>
      </c>
      <c r="F5" s="25" t="s">
        <v>24</v>
      </c>
      <c r="G5" s="25">
        <v>73</v>
      </c>
      <c r="H5" s="25" t="s">
        <v>26</v>
      </c>
      <c r="I5" s="25" t="s">
        <v>389</v>
      </c>
      <c r="J5" s="25" t="s">
        <v>389</v>
      </c>
      <c r="K5" s="25" t="s">
        <v>390</v>
      </c>
      <c r="L5" s="25" t="s">
        <v>402</v>
      </c>
      <c r="M5" s="26">
        <v>6</v>
      </c>
      <c r="N5" s="25" t="s">
        <v>392</v>
      </c>
      <c r="O5" s="25" t="s">
        <v>393</v>
      </c>
      <c r="P5" s="27" t="s">
        <v>392</v>
      </c>
    </row>
    <row r="6" spans="1:16" ht="15.45">
      <c r="A6" s="24">
        <v>5</v>
      </c>
      <c r="B6" s="25" t="s">
        <v>385</v>
      </c>
      <c r="C6" s="25">
        <v>2</v>
      </c>
      <c r="D6" s="25" t="s">
        <v>403</v>
      </c>
      <c r="E6" s="25" t="s">
        <v>404</v>
      </c>
      <c r="F6" s="25" t="s">
        <v>24</v>
      </c>
      <c r="G6" s="25">
        <v>46</v>
      </c>
      <c r="H6" s="25" t="s">
        <v>26</v>
      </c>
      <c r="I6" s="25" t="s">
        <v>389</v>
      </c>
      <c r="J6" s="25" t="s">
        <v>389</v>
      </c>
      <c r="K6" s="25" t="s">
        <v>390</v>
      </c>
      <c r="L6" s="25" t="s">
        <v>391</v>
      </c>
      <c r="M6" s="26">
        <v>4</v>
      </c>
      <c r="N6" s="25" t="s">
        <v>392</v>
      </c>
      <c r="O6" s="25" t="s">
        <v>393</v>
      </c>
      <c r="P6" s="27" t="s">
        <v>392</v>
      </c>
    </row>
    <row r="7" spans="1:16" ht="15.45">
      <c r="A7" s="24">
        <v>6</v>
      </c>
      <c r="B7" s="25" t="s">
        <v>385</v>
      </c>
      <c r="C7" s="25">
        <v>2</v>
      </c>
      <c r="D7" s="25" t="s">
        <v>405</v>
      </c>
      <c r="E7" s="25" t="s">
        <v>406</v>
      </c>
      <c r="F7" s="25" t="s">
        <v>39</v>
      </c>
      <c r="G7" s="25">
        <v>40</v>
      </c>
      <c r="H7" s="25" t="s">
        <v>26</v>
      </c>
      <c r="I7" s="25" t="s">
        <v>389</v>
      </c>
      <c r="J7" s="25" t="s">
        <v>389</v>
      </c>
      <c r="K7" s="25" t="s">
        <v>52</v>
      </c>
      <c r="L7" s="25" t="s">
        <v>391</v>
      </c>
      <c r="M7" s="26">
        <v>4</v>
      </c>
      <c r="N7" s="25" t="s">
        <v>398</v>
      </c>
      <c r="O7" s="25" t="s">
        <v>407</v>
      </c>
      <c r="P7" s="27" t="s">
        <v>408</v>
      </c>
    </row>
    <row r="8" spans="1:16" ht="15.45">
      <c r="A8" s="24">
        <v>7</v>
      </c>
      <c r="B8" s="25" t="s">
        <v>385</v>
      </c>
      <c r="C8" s="25">
        <v>2</v>
      </c>
      <c r="D8" s="25" t="s">
        <v>409</v>
      </c>
      <c r="E8" s="25" t="s">
        <v>410</v>
      </c>
      <c r="F8" s="25" t="s">
        <v>39</v>
      </c>
      <c r="G8" s="25">
        <v>10</v>
      </c>
      <c r="H8" s="25" t="s">
        <v>44</v>
      </c>
      <c r="I8" s="25" t="s">
        <v>389</v>
      </c>
      <c r="J8" s="25" t="s">
        <v>389</v>
      </c>
      <c r="K8" s="25" t="s">
        <v>390</v>
      </c>
      <c r="L8" s="25" t="s">
        <v>411</v>
      </c>
      <c r="M8" s="26">
        <v>4</v>
      </c>
      <c r="N8" s="25" t="s">
        <v>392</v>
      </c>
      <c r="O8" s="25" t="s">
        <v>407</v>
      </c>
      <c r="P8" s="27" t="s">
        <v>392</v>
      </c>
    </row>
    <row r="9" spans="1:16" ht="15.45">
      <c r="A9" s="24">
        <v>8</v>
      </c>
      <c r="B9" s="25" t="s">
        <v>385</v>
      </c>
      <c r="C9" s="25">
        <v>2</v>
      </c>
      <c r="D9" s="25" t="s">
        <v>412</v>
      </c>
      <c r="E9" s="25" t="s">
        <v>413</v>
      </c>
      <c r="F9" s="25" t="s">
        <v>39</v>
      </c>
      <c r="G9" s="25">
        <v>6</v>
      </c>
      <c r="H9" s="25" t="s">
        <v>44</v>
      </c>
      <c r="I9" s="25" t="s">
        <v>389</v>
      </c>
      <c r="J9" s="25" t="s">
        <v>389</v>
      </c>
      <c r="K9" s="25" t="s">
        <v>390</v>
      </c>
      <c r="L9" s="25" t="s">
        <v>411</v>
      </c>
      <c r="M9" s="26">
        <v>4</v>
      </c>
      <c r="N9" s="25" t="s">
        <v>392</v>
      </c>
      <c r="O9" s="25" t="s">
        <v>407</v>
      </c>
      <c r="P9" s="27" t="s">
        <v>392</v>
      </c>
    </row>
    <row r="10" spans="1:16" ht="15.45">
      <c r="A10" s="24">
        <v>9</v>
      </c>
      <c r="B10" s="25" t="s">
        <v>385</v>
      </c>
      <c r="C10" s="25">
        <v>1</v>
      </c>
      <c r="D10" s="25" t="s">
        <v>414</v>
      </c>
      <c r="E10" s="25" t="s">
        <v>415</v>
      </c>
      <c r="F10" s="25" t="s">
        <v>24</v>
      </c>
      <c r="G10" s="25">
        <v>23</v>
      </c>
      <c r="H10" s="25" t="s">
        <v>44</v>
      </c>
      <c r="I10" s="25" t="s">
        <v>416</v>
      </c>
      <c r="J10" s="25" t="s">
        <v>389</v>
      </c>
      <c r="K10" s="25" t="s">
        <v>390</v>
      </c>
      <c r="L10" s="25" t="s">
        <v>391</v>
      </c>
      <c r="M10" s="26">
        <v>6</v>
      </c>
      <c r="N10" s="25" t="s">
        <v>417</v>
      </c>
      <c r="O10" s="25" t="s">
        <v>393</v>
      </c>
      <c r="P10" s="27" t="s">
        <v>418</v>
      </c>
    </row>
    <row r="11" spans="1:16" ht="15.45">
      <c r="A11" s="24">
        <v>10</v>
      </c>
      <c r="B11" s="25" t="s">
        <v>385</v>
      </c>
      <c r="C11" s="25">
        <v>1</v>
      </c>
      <c r="D11" s="25" t="s">
        <v>419</v>
      </c>
      <c r="E11" s="25" t="s">
        <v>420</v>
      </c>
      <c r="F11" s="25" t="s">
        <v>39</v>
      </c>
      <c r="G11" s="25">
        <v>80</v>
      </c>
      <c r="H11" s="25" t="s">
        <v>26</v>
      </c>
      <c r="I11" s="25" t="s">
        <v>389</v>
      </c>
      <c r="J11" s="25" t="s">
        <v>389</v>
      </c>
      <c r="K11" s="25" t="s">
        <v>390</v>
      </c>
      <c r="L11" s="25" t="s">
        <v>391</v>
      </c>
      <c r="M11" s="26">
        <v>6</v>
      </c>
      <c r="N11" s="25" t="s">
        <v>398</v>
      </c>
      <c r="O11" s="25" t="s">
        <v>393</v>
      </c>
      <c r="P11" s="27" t="s">
        <v>399</v>
      </c>
    </row>
    <row r="12" spans="1:16" ht="15.45">
      <c r="A12" s="24">
        <v>11</v>
      </c>
      <c r="B12" s="25" t="s">
        <v>385</v>
      </c>
      <c r="C12" s="25">
        <v>3</v>
      </c>
      <c r="D12" s="25" t="s">
        <v>421</v>
      </c>
      <c r="E12" s="25" t="s">
        <v>422</v>
      </c>
      <c r="F12" s="25" t="s">
        <v>24</v>
      </c>
      <c r="G12" s="25">
        <v>23</v>
      </c>
      <c r="H12" s="25" t="s">
        <v>44</v>
      </c>
      <c r="I12" s="25" t="s">
        <v>423</v>
      </c>
      <c r="J12" s="25" t="s">
        <v>389</v>
      </c>
      <c r="K12" s="25" t="s">
        <v>390</v>
      </c>
      <c r="L12" s="25" t="s">
        <v>391</v>
      </c>
      <c r="M12" s="26">
        <v>6</v>
      </c>
      <c r="N12" s="25" t="s">
        <v>417</v>
      </c>
      <c r="O12" s="25" t="s">
        <v>393</v>
      </c>
      <c r="P12" s="27" t="s">
        <v>418</v>
      </c>
    </row>
    <row r="13" spans="1:16" ht="15.45">
      <c r="A13" s="24">
        <v>12</v>
      </c>
      <c r="B13" s="25" t="s">
        <v>385</v>
      </c>
      <c r="C13" s="25">
        <v>3</v>
      </c>
      <c r="D13" s="25" t="s">
        <v>424</v>
      </c>
      <c r="E13" s="25" t="s">
        <v>425</v>
      </c>
      <c r="F13" s="25" t="s">
        <v>24</v>
      </c>
      <c r="G13" s="25">
        <v>26</v>
      </c>
      <c r="H13" s="25" t="s">
        <v>44</v>
      </c>
      <c r="I13" s="25" t="s">
        <v>389</v>
      </c>
      <c r="J13" s="25" t="s">
        <v>389</v>
      </c>
      <c r="K13" s="25" t="s">
        <v>390</v>
      </c>
      <c r="L13" s="25" t="s">
        <v>391</v>
      </c>
      <c r="M13" s="26">
        <v>6</v>
      </c>
      <c r="N13" s="25" t="s">
        <v>417</v>
      </c>
      <c r="O13" s="25" t="s">
        <v>393</v>
      </c>
      <c r="P13" s="27" t="s">
        <v>426</v>
      </c>
    </row>
    <row r="14" spans="1:16" ht="15.45">
      <c r="A14" s="24">
        <v>13</v>
      </c>
      <c r="B14" s="25" t="s">
        <v>385</v>
      </c>
      <c r="C14" s="25">
        <v>3</v>
      </c>
      <c r="D14" s="25" t="s">
        <v>427</v>
      </c>
      <c r="E14" s="25" t="s">
        <v>428</v>
      </c>
      <c r="F14" s="25" t="s">
        <v>39</v>
      </c>
      <c r="G14" s="25">
        <v>52</v>
      </c>
      <c r="H14" s="25" t="s">
        <v>26</v>
      </c>
      <c r="I14" s="25" t="s">
        <v>389</v>
      </c>
      <c r="J14" s="25" t="s">
        <v>389</v>
      </c>
      <c r="K14" s="25" t="s">
        <v>390</v>
      </c>
      <c r="L14" s="25" t="s">
        <v>391</v>
      </c>
      <c r="M14" s="26">
        <v>6</v>
      </c>
      <c r="N14" s="25" t="s">
        <v>398</v>
      </c>
      <c r="O14" s="25" t="s">
        <v>393</v>
      </c>
      <c r="P14" s="27" t="s">
        <v>399</v>
      </c>
    </row>
    <row r="15" spans="1:16" ht="15.45">
      <c r="A15" s="24">
        <v>14</v>
      </c>
      <c r="B15" s="25" t="s">
        <v>385</v>
      </c>
      <c r="C15" s="25">
        <v>3</v>
      </c>
      <c r="D15" s="25" t="s">
        <v>429</v>
      </c>
      <c r="E15" s="25" t="s">
        <v>430</v>
      </c>
      <c r="F15" s="25" t="s">
        <v>24</v>
      </c>
      <c r="G15" s="25">
        <v>48</v>
      </c>
      <c r="H15" s="25" t="s">
        <v>26</v>
      </c>
      <c r="I15" s="25" t="s">
        <v>389</v>
      </c>
      <c r="J15" s="25" t="s">
        <v>389</v>
      </c>
      <c r="K15" s="25" t="s">
        <v>390</v>
      </c>
      <c r="L15" s="25" t="s">
        <v>402</v>
      </c>
      <c r="M15" s="26">
        <v>6</v>
      </c>
      <c r="N15" s="25" t="s">
        <v>392</v>
      </c>
      <c r="O15" s="25" t="s">
        <v>393</v>
      </c>
      <c r="P15" s="27" t="s">
        <v>392</v>
      </c>
    </row>
    <row r="16" spans="1:16" ht="15.45">
      <c r="A16" s="24">
        <v>15</v>
      </c>
      <c r="B16" s="25" t="s">
        <v>385</v>
      </c>
      <c r="C16" s="25">
        <v>3</v>
      </c>
      <c r="D16" s="25" t="s">
        <v>431</v>
      </c>
      <c r="E16" s="25" t="s">
        <v>432</v>
      </c>
      <c r="F16" s="25" t="s">
        <v>39</v>
      </c>
      <c r="G16" s="25">
        <v>76</v>
      </c>
      <c r="H16" s="25" t="s">
        <v>26</v>
      </c>
      <c r="I16" s="25" t="s">
        <v>389</v>
      </c>
      <c r="J16" s="25" t="s">
        <v>389</v>
      </c>
      <c r="K16" s="25" t="s">
        <v>390</v>
      </c>
      <c r="L16" s="25" t="s">
        <v>391</v>
      </c>
      <c r="M16" s="26">
        <v>6</v>
      </c>
      <c r="N16" s="25" t="s">
        <v>398</v>
      </c>
      <c r="O16" s="25" t="s">
        <v>393</v>
      </c>
      <c r="P16" s="27" t="s">
        <v>399</v>
      </c>
    </row>
    <row r="17" spans="1:16" ht="15.45">
      <c r="A17" s="24">
        <v>16</v>
      </c>
      <c r="B17" s="25" t="s">
        <v>385</v>
      </c>
      <c r="C17" s="25">
        <v>3</v>
      </c>
      <c r="D17" s="25" t="s">
        <v>433</v>
      </c>
      <c r="E17" s="25" t="s">
        <v>434</v>
      </c>
      <c r="F17" s="25" t="s">
        <v>24</v>
      </c>
      <c r="G17" s="25">
        <v>73</v>
      </c>
      <c r="H17" s="25" t="s">
        <v>26</v>
      </c>
      <c r="I17" s="25" t="s">
        <v>389</v>
      </c>
      <c r="J17" s="25" t="s">
        <v>389</v>
      </c>
      <c r="K17" s="25" t="s">
        <v>390</v>
      </c>
      <c r="L17" s="25" t="s">
        <v>391</v>
      </c>
      <c r="M17" s="26">
        <v>6</v>
      </c>
      <c r="N17" s="25" t="s">
        <v>392</v>
      </c>
      <c r="O17" s="25" t="s">
        <v>393</v>
      </c>
      <c r="P17" s="27" t="s">
        <v>392</v>
      </c>
    </row>
    <row r="18" spans="1:16" ht="15.45">
      <c r="A18" s="24">
        <v>17</v>
      </c>
      <c r="B18" s="25" t="s">
        <v>385</v>
      </c>
      <c r="C18" s="25">
        <v>4</v>
      </c>
      <c r="D18" s="25" t="s">
        <v>435</v>
      </c>
      <c r="E18" s="25" t="s">
        <v>436</v>
      </c>
      <c r="F18" s="25" t="s">
        <v>39</v>
      </c>
      <c r="G18" s="25">
        <v>20</v>
      </c>
      <c r="H18" s="25" t="s">
        <v>44</v>
      </c>
      <c r="I18" s="25" t="s">
        <v>389</v>
      </c>
      <c r="J18" s="25" t="s">
        <v>437</v>
      </c>
      <c r="K18" s="25" t="s">
        <v>139</v>
      </c>
      <c r="L18" s="25" t="s">
        <v>391</v>
      </c>
      <c r="M18" s="26">
        <v>3</v>
      </c>
      <c r="N18" s="25" t="s">
        <v>392</v>
      </c>
      <c r="O18" s="25" t="s">
        <v>438</v>
      </c>
      <c r="P18" s="27" t="s">
        <v>392</v>
      </c>
    </row>
    <row r="19" spans="1:16" ht="15.45">
      <c r="A19" s="24">
        <v>18</v>
      </c>
      <c r="B19" s="25" t="s">
        <v>385</v>
      </c>
      <c r="C19" s="25">
        <v>4</v>
      </c>
      <c r="D19" s="25" t="s">
        <v>439</v>
      </c>
      <c r="E19" s="25" t="s">
        <v>440</v>
      </c>
      <c r="F19" s="25" t="s">
        <v>24</v>
      </c>
      <c r="G19" s="25">
        <v>50</v>
      </c>
      <c r="H19" s="25" t="s">
        <v>26</v>
      </c>
      <c r="I19" s="25" t="s">
        <v>389</v>
      </c>
      <c r="J19" s="25" t="s">
        <v>441</v>
      </c>
      <c r="K19" s="25" t="s">
        <v>139</v>
      </c>
      <c r="L19" s="25" t="s">
        <v>30</v>
      </c>
      <c r="M19" s="26">
        <v>3</v>
      </c>
      <c r="N19" s="25" t="s">
        <v>398</v>
      </c>
      <c r="O19" s="25" t="s">
        <v>442</v>
      </c>
      <c r="P19" s="27" t="s">
        <v>408</v>
      </c>
    </row>
    <row r="20" spans="1:16" ht="15.45">
      <c r="A20" s="24">
        <v>19</v>
      </c>
      <c r="B20" s="25" t="s">
        <v>385</v>
      </c>
      <c r="C20" s="25">
        <v>4</v>
      </c>
      <c r="D20" s="25" t="s">
        <v>443</v>
      </c>
      <c r="E20" s="25" t="s">
        <v>444</v>
      </c>
      <c r="F20" s="25" t="s">
        <v>39</v>
      </c>
      <c r="G20" s="25">
        <v>50</v>
      </c>
      <c r="H20" s="25" t="s">
        <v>26</v>
      </c>
      <c r="I20" s="25" t="s">
        <v>389</v>
      </c>
      <c r="J20" s="25" t="s">
        <v>445</v>
      </c>
      <c r="K20" s="25" t="s">
        <v>29</v>
      </c>
      <c r="L20" s="25" t="s">
        <v>30</v>
      </c>
      <c r="M20" s="26">
        <v>3</v>
      </c>
      <c r="N20" s="25" t="s">
        <v>417</v>
      </c>
      <c r="O20" s="25" t="s">
        <v>442</v>
      </c>
      <c r="P20" s="27" t="s">
        <v>399</v>
      </c>
    </row>
    <row r="21" spans="1:16" ht="15.45">
      <c r="A21" s="24">
        <v>20</v>
      </c>
      <c r="B21" s="25" t="s">
        <v>446</v>
      </c>
      <c r="C21" s="25">
        <v>5</v>
      </c>
      <c r="D21" s="25" t="s">
        <v>447</v>
      </c>
      <c r="E21" s="25" t="s">
        <v>448</v>
      </c>
      <c r="F21" s="25" t="s">
        <v>39</v>
      </c>
      <c r="G21" s="25">
        <v>49</v>
      </c>
      <c r="H21" s="25" t="s">
        <v>26</v>
      </c>
      <c r="I21" s="25" t="s">
        <v>449</v>
      </c>
      <c r="J21" s="25" t="s">
        <v>450</v>
      </c>
      <c r="K21" s="25" t="s">
        <v>29</v>
      </c>
      <c r="L21" s="25" t="s">
        <v>391</v>
      </c>
      <c r="M21" s="26">
        <v>4</v>
      </c>
      <c r="N21" s="25" t="s">
        <v>398</v>
      </c>
      <c r="O21" s="25" t="s">
        <v>442</v>
      </c>
      <c r="P21" s="27" t="s">
        <v>418</v>
      </c>
    </row>
    <row r="22" spans="1:16" ht="15.45">
      <c r="A22" s="24">
        <v>21</v>
      </c>
      <c r="B22" s="25" t="s">
        <v>446</v>
      </c>
      <c r="C22" s="25">
        <v>5</v>
      </c>
      <c r="D22" s="25" t="s">
        <v>451</v>
      </c>
      <c r="E22" s="25" t="s">
        <v>452</v>
      </c>
      <c r="F22" s="25" t="s">
        <v>24</v>
      </c>
      <c r="G22" s="25">
        <v>43</v>
      </c>
      <c r="H22" s="25" t="s">
        <v>26</v>
      </c>
      <c r="I22" s="25" t="s">
        <v>449</v>
      </c>
      <c r="J22" s="25" t="s">
        <v>450</v>
      </c>
      <c r="K22" s="25" t="s">
        <v>29</v>
      </c>
      <c r="L22" s="25" t="s">
        <v>402</v>
      </c>
      <c r="M22" s="26">
        <v>4</v>
      </c>
      <c r="N22" s="25" t="s">
        <v>392</v>
      </c>
      <c r="O22" s="25" t="s">
        <v>407</v>
      </c>
      <c r="P22" s="27" t="s">
        <v>453</v>
      </c>
    </row>
    <row r="23" spans="1:16" ht="15.45">
      <c r="A23" s="24">
        <v>22</v>
      </c>
      <c r="B23" s="25" t="s">
        <v>446</v>
      </c>
      <c r="C23" s="25">
        <v>5</v>
      </c>
      <c r="D23" s="25" t="s">
        <v>454</v>
      </c>
      <c r="E23" s="25" t="s">
        <v>455</v>
      </c>
      <c r="F23" s="25" t="s">
        <v>24</v>
      </c>
      <c r="G23" s="25">
        <v>19</v>
      </c>
      <c r="H23" s="25" t="s">
        <v>44</v>
      </c>
      <c r="I23" s="25" t="s">
        <v>449</v>
      </c>
      <c r="J23" s="25" t="s">
        <v>449</v>
      </c>
      <c r="K23" s="25" t="s">
        <v>29</v>
      </c>
      <c r="L23" s="25" t="s">
        <v>391</v>
      </c>
      <c r="M23" s="26">
        <v>4</v>
      </c>
      <c r="N23" s="25" t="s">
        <v>392</v>
      </c>
      <c r="O23" s="25" t="s">
        <v>407</v>
      </c>
      <c r="P23" s="27" t="s">
        <v>453</v>
      </c>
    </row>
    <row r="24" spans="1:16" ht="15.45">
      <c r="A24" s="24">
        <v>23</v>
      </c>
      <c r="B24" s="25" t="s">
        <v>446</v>
      </c>
      <c r="C24" s="25">
        <v>5</v>
      </c>
      <c r="D24" s="25" t="s">
        <v>456</v>
      </c>
      <c r="E24" s="25" t="s">
        <v>457</v>
      </c>
      <c r="F24" s="25" t="s">
        <v>39</v>
      </c>
      <c r="G24" s="25">
        <v>16</v>
      </c>
      <c r="H24" s="25" t="s">
        <v>44</v>
      </c>
      <c r="I24" s="25" t="s">
        <v>449</v>
      </c>
      <c r="J24" s="25" t="s">
        <v>449</v>
      </c>
      <c r="K24" s="25" t="s">
        <v>29</v>
      </c>
      <c r="L24" s="25" t="s">
        <v>402</v>
      </c>
      <c r="M24" s="26">
        <v>4</v>
      </c>
      <c r="N24" s="25" t="s">
        <v>392</v>
      </c>
      <c r="O24" s="25" t="s">
        <v>407</v>
      </c>
      <c r="P24" s="27" t="s">
        <v>453</v>
      </c>
    </row>
    <row r="25" spans="1:16" ht="15.45">
      <c r="A25" s="24">
        <v>24</v>
      </c>
      <c r="B25" s="25" t="s">
        <v>446</v>
      </c>
      <c r="C25" s="25">
        <v>6</v>
      </c>
      <c r="D25" s="25" t="s">
        <v>458</v>
      </c>
      <c r="E25" s="25" t="s">
        <v>459</v>
      </c>
      <c r="F25" s="25" t="s">
        <v>39</v>
      </c>
      <c r="G25" s="25">
        <v>60</v>
      </c>
      <c r="H25" s="25" t="s">
        <v>26</v>
      </c>
      <c r="I25" s="25" t="s">
        <v>450</v>
      </c>
      <c r="J25" s="25" t="s">
        <v>450</v>
      </c>
      <c r="K25" s="25" t="s">
        <v>29</v>
      </c>
      <c r="L25" s="25" t="s">
        <v>391</v>
      </c>
      <c r="M25" s="26">
        <v>4</v>
      </c>
      <c r="N25" s="25" t="s">
        <v>392</v>
      </c>
      <c r="O25" s="25" t="s">
        <v>407</v>
      </c>
      <c r="P25" s="27" t="s">
        <v>460</v>
      </c>
    </row>
    <row r="26" spans="1:16" ht="15.45">
      <c r="A26" s="24">
        <v>25</v>
      </c>
      <c r="B26" s="25" t="s">
        <v>446</v>
      </c>
      <c r="C26" s="25">
        <v>6</v>
      </c>
      <c r="D26" s="25" t="s">
        <v>461</v>
      </c>
      <c r="E26" s="25" t="s">
        <v>462</v>
      </c>
      <c r="F26" s="25" t="s">
        <v>24</v>
      </c>
      <c r="G26" s="25">
        <v>57</v>
      </c>
      <c r="H26" s="25" t="s">
        <v>26</v>
      </c>
      <c r="I26" s="25" t="s">
        <v>450</v>
      </c>
      <c r="J26" s="25" t="s">
        <v>450</v>
      </c>
      <c r="K26" s="25" t="s">
        <v>29</v>
      </c>
      <c r="L26" s="25" t="s">
        <v>30</v>
      </c>
      <c r="M26" s="26">
        <v>4</v>
      </c>
      <c r="N26" s="25" t="s">
        <v>417</v>
      </c>
      <c r="O26" s="25" t="s">
        <v>407</v>
      </c>
      <c r="P26" s="27" t="s">
        <v>418</v>
      </c>
    </row>
    <row r="27" spans="1:16" ht="15.45">
      <c r="A27" s="24">
        <v>26</v>
      </c>
      <c r="B27" s="25" t="s">
        <v>446</v>
      </c>
      <c r="C27" s="25">
        <v>6</v>
      </c>
      <c r="D27" s="25" t="s">
        <v>463</v>
      </c>
      <c r="E27" s="25" t="s">
        <v>464</v>
      </c>
      <c r="F27" s="25" t="s">
        <v>24</v>
      </c>
      <c r="G27" s="25">
        <v>28</v>
      </c>
      <c r="H27" s="25" t="s">
        <v>44</v>
      </c>
      <c r="I27" s="25" t="s">
        <v>441</v>
      </c>
      <c r="J27" s="25" t="s">
        <v>450</v>
      </c>
      <c r="K27" s="25" t="s">
        <v>29</v>
      </c>
      <c r="L27" s="25" t="s">
        <v>465</v>
      </c>
      <c r="M27" s="26">
        <v>4</v>
      </c>
      <c r="N27" s="25" t="s">
        <v>392</v>
      </c>
      <c r="O27" s="25" t="s">
        <v>438</v>
      </c>
      <c r="P27" s="27" t="s">
        <v>466</v>
      </c>
    </row>
    <row r="28" spans="1:16" ht="15.45">
      <c r="A28" s="24">
        <v>27</v>
      </c>
      <c r="B28" s="25" t="s">
        <v>446</v>
      </c>
      <c r="C28" s="25">
        <v>6</v>
      </c>
      <c r="D28" s="25" t="s">
        <v>467</v>
      </c>
      <c r="E28" s="25" t="s">
        <v>468</v>
      </c>
      <c r="F28" s="25" t="s">
        <v>24</v>
      </c>
      <c r="G28" s="25">
        <v>20</v>
      </c>
      <c r="H28" s="25" t="s">
        <v>44</v>
      </c>
      <c r="I28" s="25" t="s">
        <v>449</v>
      </c>
      <c r="J28" s="25" t="s">
        <v>450</v>
      </c>
      <c r="K28" s="25" t="s">
        <v>29</v>
      </c>
      <c r="L28" s="25" t="s">
        <v>391</v>
      </c>
      <c r="M28" s="26">
        <v>4</v>
      </c>
      <c r="N28" s="25" t="s">
        <v>392</v>
      </c>
      <c r="O28" s="25" t="s">
        <v>438</v>
      </c>
      <c r="P28" s="27" t="s">
        <v>453</v>
      </c>
    </row>
    <row r="29" spans="1:16" ht="15.45">
      <c r="A29" s="24">
        <v>28</v>
      </c>
      <c r="B29" s="25" t="s">
        <v>446</v>
      </c>
      <c r="C29" s="25">
        <v>7</v>
      </c>
      <c r="D29" s="25" t="s">
        <v>469</v>
      </c>
      <c r="E29" s="25" t="s">
        <v>470</v>
      </c>
      <c r="F29" s="25" t="s">
        <v>39</v>
      </c>
      <c r="G29" s="25">
        <v>48</v>
      </c>
      <c r="H29" s="25" t="s">
        <v>26</v>
      </c>
      <c r="I29" s="25" t="s">
        <v>450</v>
      </c>
      <c r="J29" s="25" t="s">
        <v>450</v>
      </c>
      <c r="K29" s="25" t="s">
        <v>29</v>
      </c>
      <c r="L29" s="25" t="s">
        <v>30</v>
      </c>
      <c r="M29" s="26">
        <v>2</v>
      </c>
      <c r="N29" s="25" t="s">
        <v>417</v>
      </c>
      <c r="O29" s="25" t="s">
        <v>438</v>
      </c>
      <c r="P29" s="27" t="s">
        <v>418</v>
      </c>
    </row>
    <row r="30" spans="1:16" ht="15.45">
      <c r="A30" s="24">
        <v>29</v>
      </c>
      <c r="B30" s="25" t="s">
        <v>446</v>
      </c>
      <c r="C30" s="25">
        <v>7</v>
      </c>
      <c r="D30" s="25" t="s">
        <v>471</v>
      </c>
      <c r="E30" s="25" t="s">
        <v>472</v>
      </c>
      <c r="F30" s="25" t="s">
        <v>24</v>
      </c>
      <c r="G30" s="25">
        <v>47</v>
      </c>
      <c r="H30" s="25" t="s">
        <v>26</v>
      </c>
      <c r="I30" s="25" t="s">
        <v>450</v>
      </c>
      <c r="J30" s="25" t="s">
        <v>450</v>
      </c>
      <c r="K30" s="25" t="s">
        <v>29</v>
      </c>
      <c r="L30" s="25" t="s">
        <v>30</v>
      </c>
      <c r="M30" s="26">
        <v>2</v>
      </c>
      <c r="N30" s="25" t="s">
        <v>417</v>
      </c>
      <c r="O30" s="25" t="s">
        <v>438</v>
      </c>
      <c r="P30" s="27" t="s">
        <v>426</v>
      </c>
    </row>
    <row r="31" spans="1:16" ht="15.45">
      <c r="A31" s="24">
        <v>30</v>
      </c>
      <c r="B31" s="25" t="s">
        <v>446</v>
      </c>
      <c r="C31" s="25">
        <v>8</v>
      </c>
      <c r="D31" s="25" t="s">
        <v>473</v>
      </c>
      <c r="E31" s="25" t="s">
        <v>474</v>
      </c>
      <c r="F31" s="25" t="s">
        <v>39</v>
      </c>
      <c r="G31" s="25">
        <v>40</v>
      </c>
      <c r="H31" s="25" t="s">
        <v>44</v>
      </c>
      <c r="I31" s="25" t="s">
        <v>450</v>
      </c>
      <c r="J31" s="25" t="s">
        <v>450</v>
      </c>
      <c r="K31" s="25" t="s">
        <v>29</v>
      </c>
      <c r="L31" s="25" t="s">
        <v>391</v>
      </c>
      <c r="M31" s="26">
        <v>4</v>
      </c>
      <c r="N31" s="25" t="s">
        <v>398</v>
      </c>
      <c r="O31" s="25" t="s">
        <v>438</v>
      </c>
      <c r="P31" s="27" t="s">
        <v>475</v>
      </c>
    </row>
    <row r="32" spans="1:16" ht="15.45">
      <c r="A32" s="24">
        <v>31</v>
      </c>
      <c r="B32" s="25" t="s">
        <v>446</v>
      </c>
      <c r="C32" s="25">
        <v>8</v>
      </c>
      <c r="D32" s="25" t="s">
        <v>476</v>
      </c>
      <c r="E32" s="25" t="s">
        <v>477</v>
      </c>
      <c r="F32" s="25" t="s">
        <v>39</v>
      </c>
      <c r="G32" s="25">
        <v>43</v>
      </c>
      <c r="H32" s="25" t="s">
        <v>44</v>
      </c>
      <c r="I32" s="25" t="s">
        <v>450</v>
      </c>
      <c r="J32" s="25" t="s">
        <v>478</v>
      </c>
      <c r="K32" s="25" t="s">
        <v>479</v>
      </c>
      <c r="L32" s="25" t="s">
        <v>30</v>
      </c>
      <c r="M32" s="26">
        <v>4</v>
      </c>
      <c r="N32" s="25" t="s">
        <v>398</v>
      </c>
      <c r="O32" s="25" t="s">
        <v>480</v>
      </c>
      <c r="P32" s="27" t="s">
        <v>481</v>
      </c>
    </row>
    <row r="33" spans="1:16" ht="15.45">
      <c r="A33" s="24">
        <v>32</v>
      </c>
      <c r="B33" s="25" t="s">
        <v>446</v>
      </c>
      <c r="C33" s="25">
        <v>8</v>
      </c>
      <c r="D33" s="25" t="s">
        <v>482</v>
      </c>
      <c r="E33" s="25" t="s">
        <v>483</v>
      </c>
      <c r="F33" s="25" t="s">
        <v>39</v>
      </c>
      <c r="G33" s="25">
        <v>31</v>
      </c>
      <c r="H33" s="25" t="s">
        <v>44</v>
      </c>
      <c r="I33" s="25" t="s">
        <v>450</v>
      </c>
      <c r="J33" s="25" t="s">
        <v>484</v>
      </c>
      <c r="K33" s="25" t="s">
        <v>29</v>
      </c>
      <c r="L33" s="25" t="s">
        <v>391</v>
      </c>
      <c r="M33" s="26">
        <v>4</v>
      </c>
      <c r="N33" s="25" t="s">
        <v>398</v>
      </c>
      <c r="O33" s="25" t="s">
        <v>407</v>
      </c>
      <c r="P33" s="27" t="s">
        <v>460</v>
      </c>
    </row>
    <row r="34" spans="1:16" ht="15.45">
      <c r="A34" s="24">
        <v>33</v>
      </c>
      <c r="B34" s="25" t="s">
        <v>446</v>
      </c>
      <c r="C34" s="25">
        <v>8</v>
      </c>
      <c r="D34" s="25" t="s">
        <v>485</v>
      </c>
      <c r="E34" s="25" t="s">
        <v>486</v>
      </c>
      <c r="F34" s="25" t="s">
        <v>24</v>
      </c>
      <c r="G34" s="25">
        <v>36</v>
      </c>
      <c r="H34" s="25" t="s">
        <v>44</v>
      </c>
      <c r="I34" s="25" t="s">
        <v>450</v>
      </c>
      <c r="J34" s="25" t="s">
        <v>450</v>
      </c>
      <c r="K34" s="25" t="s">
        <v>29</v>
      </c>
      <c r="L34" s="25" t="s">
        <v>30</v>
      </c>
      <c r="M34" s="26">
        <v>4</v>
      </c>
      <c r="N34" s="25" t="s">
        <v>398</v>
      </c>
      <c r="O34" s="25" t="s">
        <v>480</v>
      </c>
      <c r="P34" s="27" t="s">
        <v>475</v>
      </c>
    </row>
    <row r="35" spans="1:16" ht="15.45">
      <c r="A35" s="24">
        <v>34</v>
      </c>
      <c r="B35" s="25" t="s">
        <v>487</v>
      </c>
      <c r="C35" s="25">
        <v>9</v>
      </c>
      <c r="D35" s="25" t="s">
        <v>488</v>
      </c>
      <c r="E35" s="25" t="s">
        <v>489</v>
      </c>
      <c r="F35" s="25" t="s">
        <v>39</v>
      </c>
      <c r="G35" s="25">
        <v>19</v>
      </c>
      <c r="H35" s="25" t="s">
        <v>44</v>
      </c>
      <c r="I35" s="25" t="s">
        <v>441</v>
      </c>
      <c r="J35" s="25" t="s">
        <v>490</v>
      </c>
      <c r="K35" s="25" t="s">
        <v>139</v>
      </c>
      <c r="L35" s="25" t="s">
        <v>391</v>
      </c>
      <c r="M35" s="26">
        <v>4</v>
      </c>
      <c r="N35" s="25" t="s">
        <v>392</v>
      </c>
      <c r="O35" s="25" t="s">
        <v>407</v>
      </c>
      <c r="P35" s="27" t="s">
        <v>392</v>
      </c>
    </row>
    <row r="36" spans="1:16" ht="15.45">
      <c r="A36" s="24">
        <v>35</v>
      </c>
      <c r="B36" s="25" t="s">
        <v>487</v>
      </c>
      <c r="C36" s="25">
        <v>9</v>
      </c>
      <c r="D36" s="25" t="s">
        <v>491</v>
      </c>
      <c r="E36" s="25" t="s">
        <v>492</v>
      </c>
      <c r="F36" s="25" t="s">
        <v>24</v>
      </c>
      <c r="G36" s="25">
        <v>54</v>
      </c>
      <c r="H36" s="25" t="s">
        <v>26</v>
      </c>
      <c r="I36" s="25" t="s">
        <v>441</v>
      </c>
      <c r="J36" s="25" t="s">
        <v>493</v>
      </c>
      <c r="K36" s="25" t="s">
        <v>139</v>
      </c>
      <c r="L36" s="25" t="s">
        <v>30</v>
      </c>
      <c r="M36" s="26">
        <v>4</v>
      </c>
      <c r="N36" s="25" t="s">
        <v>392</v>
      </c>
      <c r="O36" s="25" t="s">
        <v>407</v>
      </c>
      <c r="P36" s="27" t="s">
        <v>392</v>
      </c>
    </row>
    <row r="37" spans="1:16" ht="15.45">
      <c r="A37" s="24">
        <v>36</v>
      </c>
      <c r="B37" s="25" t="s">
        <v>487</v>
      </c>
      <c r="C37" s="25">
        <v>9</v>
      </c>
      <c r="D37" s="25" t="s">
        <v>494</v>
      </c>
      <c r="E37" s="25" t="s">
        <v>495</v>
      </c>
      <c r="F37" s="25" t="s">
        <v>39</v>
      </c>
      <c r="G37" s="25">
        <v>59</v>
      </c>
      <c r="H37" s="25" t="s">
        <v>26</v>
      </c>
      <c r="I37" s="25" t="s">
        <v>441</v>
      </c>
      <c r="J37" s="25" t="s">
        <v>496</v>
      </c>
      <c r="K37" s="25" t="s">
        <v>139</v>
      </c>
      <c r="L37" s="25" t="s">
        <v>30</v>
      </c>
      <c r="M37" s="26">
        <v>4</v>
      </c>
      <c r="N37" s="25" t="s">
        <v>417</v>
      </c>
      <c r="O37" s="25" t="s">
        <v>407</v>
      </c>
      <c r="P37" s="27" t="s">
        <v>418</v>
      </c>
    </row>
    <row r="38" spans="1:16" ht="15.45">
      <c r="A38" s="24">
        <v>37</v>
      </c>
      <c r="B38" s="25" t="s">
        <v>487</v>
      </c>
      <c r="C38" s="25">
        <v>9</v>
      </c>
      <c r="D38" s="25" t="s">
        <v>497</v>
      </c>
      <c r="E38" s="25" t="s">
        <v>498</v>
      </c>
      <c r="F38" s="25" t="s">
        <v>24</v>
      </c>
      <c r="G38" s="25">
        <v>29</v>
      </c>
      <c r="H38" s="25" t="s">
        <v>44</v>
      </c>
      <c r="I38" s="25" t="s">
        <v>441</v>
      </c>
      <c r="J38" s="25" t="s">
        <v>499</v>
      </c>
      <c r="K38" s="25" t="s">
        <v>139</v>
      </c>
      <c r="L38" s="25" t="s">
        <v>465</v>
      </c>
      <c r="M38" s="26">
        <v>4</v>
      </c>
      <c r="N38" s="25" t="s">
        <v>392</v>
      </c>
      <c r="O38" s="25" t="s">
        <v>407</v>
      </c>
      <c r="P38" s="27" t="s">
        <v>481</v>
      </c>
    </row>
    <row r="39" spans="1:16" ht="15.45">
      <c r="A39" s="24">
        <v>38</v>
      </c>
      <c r="B39" s="25" t="s">
        <v>487</v>
      </c>
      <c r="C39" s="25">
        <v>10</v>
      </c>
      <c r="D39" s="25" t="s">
        <v>500</v>
      </c>
      <c r="E39" s="25" t="s">
        <v>501</v>
      </c>
      <c r="F39" s="25" t="s">
        <v>39</v>
      </c>
      <c r="G39" s="25">
        <v>43</v>
      </c>
      <c r="H39" s="25" t="s">
        <v>26</v>
      </c>
      <c r="I39" s="25" t="s">
        <v>441</v>
      </c>
      <c r="J39" s="25" t="s">
        <v>502</v>
      </c>
      <c r="K39" s="25" t="s">
        <v>139</v>
      </c>
      <c r="L39" s="25" t="s">
        <v>30</v>
      </c>
      <c r="M39" s="26">
        <v>3</v>
      </c>
      <c r="N39" s="25" t="s">
        <v>417</v>
      </c>
      <c r="O39" s="25" t="s">
        <v>407</v>
      </c>
      <c r="P39" s="27" t="s">
        <v>426</v>
      </c>
    </row>
    <row r="40" spans="1:16" ht="15.45">
      <c r="A40" s="24">
        <v>39</v>
      </c>
      <c r="B40" s="25" t="s">
        <v>487</v>
      </c>
      <c r="C40" s="25">
        <v>10</v>
      </c>
      <c r="D40" s="25" t="s">
        <v>503</v>
      </c>
      <c r="E40" s="25" t="s">
        <v>504</v>
      </c>
      <c r="F40" s="25" t="s">
        <v>24</v>
      </c>
      <c r="G40" s="25">
        <v>41</v>
      </c>
      <c r="H40" s="25" t="s">
        <v>26</v>
      </c>
      <c r="I40" s="25" t="s">
        <v>441</v>
      </c>
      <c r="J40" s="25" t="s">
        <v>499</v>
      </c>
      <c r="K40" s="25" t="s">
        <v>139</v>
      </c>
      <c r="L40" s="25" t="s">
        <v>30</v>
      </c>
      <c r="M40" s="26">
        <v>3</v>
      </c>
      <c r="N40" s="25" t="s">
        <v>398</v>
      </c>
      <c r="O40" s="25" t="s">
        <v>407</v>
      </c>
      <c r="P40" s="27" t="s">
        <v>408</v>
      </c>
    </row>
    <row r="41" spans="1:16" ht="15.9" thickBot="1">
      <c r="A41" s="28">
        <v>40</v>
      </c>
      <c r="B41" s="29" t="s">
        <v>487</v>
      </c>
      <c r="C41" s="29">
        <v>10</v>
      </c>
      <c r="D41" s="29" t="s">
        <v>505</v>
      </c>
      <c r="E41" s="29" t="s">
        <v>506</v>
      </c>
      <c r="F41" s="29" t="s">
        <v>39</v>
      </c>
      <c r="G41" s="29">
        <v>14</v>
      </c>
      <c r="H41" s="29" t="s">
        <v>44</v>
      </c>
      <c r="I41" s="29" t="s">
        <v>441</v>
      </c>
      <c r="J41" s="29" t="s">
        <v>441</v>
      </c>
      <c r="K41" s="29" t="s">
        <v>139</v>
      </c>
      <c r="L41" s="29" t="s">
        <v>507</v>
      </c>
      <c r="M41" s="30">
        <v>3</v>
      </c>
      <c r="N41" s="29" t="s">
        <v>392</v>
      </c>
      <c r="O41" s="29" t="s">
        <v>407</v>
      </c>
      <c r="P41" s="31" t="s">
        <v>392</v>
      </c>
    </row>
    <row r="42" spans="1:16" ht="15" thickTop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97C7-922F-4800-B71B-31A24F0E3CB7}">
  <dimension ref="A1:Q32"/>
  <sheetViews>
    <sheetView workbookViewId="0">
      <selection activeCell="G17" sqref="G17"/>
    </sheetView>
  </sheetViews>
  <sheetFormatPr defaultRowHeight="14.6"/>
  <sheetData>
    <row r="1" spans="1:17">
      <c r="A1" s="32" t="s">
        <v>218</v>
      </c>
      <c r="B1" s="32" t="s">
        <v>1</v>
      </c>
      <c r="C1" s="32" t="s">
        <v>508</v>
      </c>
      <c r="D1" s="32" t="s">
        <v>509</v>
      </c>
      <c r="E1" s="32" t="s">
        <v>510</v>
      </c>
      <c r="F1" s="32" t="s">
        <v>5</v>
      </c>
      <c r="G1" s="32" t="s">
        <v>6</v>
      </c>
      <c r="H1" s="33" t="s">
        <v>6</v>
      </c>
      <c r="I1" s="32" t="s">
        <v>151</v>
      </c>
      <c r="J1" s="32" t="s">
        <v>9</v>
      </c>
      <c r="K1" s="32" t="s">
        <v>511</v>
      </c>
      <c r="L1" s="32" t="s">
        <v>512</v>
      </c>
      <c r="M1" s="32" t="s">
        <v>513</v>
      </c>
      <c r="N1" s="32" t="s">
        <v>382</v>
      </c>
      <c r="O1" s="32" t="s">
        <v>514</v>
      </c>
      <c r="P1" s="32" t="s">
        <v>515</v>
      </c>
      <c r="Q1" s="32" t="s">
        <v>516</v>
      </c>
    </row>
    <row r="2" spans="1:17">
      <c r="A2" s="32">
        <v>1</v>
      </c>
      <c r="B2" s="32">
        <v>1</v>
      </c>
      <c r="C2" s="32">
        <v>1.1000000000000001</v>
      </c>
      <c r="D2" s="32" t="s">
        <v>517</v>
      </c>
      <c r="E2" s="32" t="s">
        <v>20</v>
      </c>
      <c r="F2" s="32" t="s">
        <v>24</v>
      </c>
      <c r="G2" s="32">
        <v>19</v>
      </c>
      <c r="H2" s="34">
        <v>44854</v>
      </c>
      <c r="I2" s="32" t="s">
        <v>518</v>
      </c>
      <c r="J2" s="32" t="s">
        <v>27</v>
      </c>
      <c r="K2" s="32" t="s">
        <v>320</v>
      </c>
      <c r="L2" s="32" t="s">
        <v>231</v>
      </c>
      <c r="M2" s="32" t="s">
        <v>107</v>
      </c>
      <c r="N2" s="32" t="s">
        <v>519</v>
      </c>
      <c r="O2" s="32" t="s">
        <v>519</v>
      </c>
      <c r="P2" s="32" t="s">
        <v>519</v>
      </c>
      <c r="Q2" s="32" t="s">
        <v>520</v>
      </c>
    </row>
    <row r="3" spans="1:17">
      <c r="A3" s="32">
        <v>2</v>
      </c>
      <c r="B3" s="32"/>
      <c r="C3" s="32">
        <v>1.2</v>
      </c>
      <c r="D3" s="32" t="s">
        <v>517</v>
      </c>
      <c r="E3" s="32" t="s">
        <v>521</v>
      </c>
      <c r="F3" s="32" t="s">
        <v>24</v>
      </c>
      <c r="G3" s="32">
        <v>46</v>
      </c>
      <c r="H3" s="35" t="s">
        <v>522</v>
      </c>
      <c r="I3" s="32" t="s">
        <v>26</v>
      </c>
      <c r="J3" s="32" t="s">
        <v>27</v>
      </c>
      <c r="K3" s="32" t="s">
        <v>320</v>
      </c>
      <c r="L3" s="32" t="s">
        <v>231</v>
      </c>
      <c r="M3" s="32" t="s">
        <v>107</v>
      </c>
      <c r="N3" s="32" t="s">
        <v>31</v>
      </c>
      <c r="O3" s="32" t="s">
        <v>408</v>
      </c>
      <c r="P3" s="32" t="s">
        <v>41</v>
      </c>
      <c r="Q3" s="32" t="s">
        <v>523</v>
      </c>
    </row>
    <row r="4" spans="1:17">
      <c r="A4" s="32">
        <v>3</v>
      </c>
      <c r="B4" s="32"/>
      <c r="C4" s="32">
        <v>1.3</v>
      </c>
      <c r="D4" s="32" t="s">
        <v>517</v>
      </c>
      <c r="E4" s="32" t="s">
        <v>524</v>
      </c>
      <c r="F4" s="32" t="s">
        <v>39</v>
      </c>
      <c r="G4" s="32">
        <v>48</v>
      </c>
      <c r="H4" s="35" t="s">
        <v>522</v>
      </c>
      <c r="I4" s="32" t="s">
        <v>26</v>
      </c>
      <c r="J4" s="32" t="s">
        <v>27</v>
      </c>
      <c r="K4" s="32" t="s">
        <v>320</v>
      </c>
      <c r="L4" s="32" t="s">
        <v>231</v>
      </c>
      <c r="M4" s="32" t="s">
        <v>107</v>
      </c>
      <c r="N4" s="32" t="s">
        <v>31</v>
      </c>
      <c r="O4" s="32" t="s">
        <v>408</v>
      </c>
      <c r="P4" s="32" t="s">
        <v>33</v>
      </c>
      <c r="Q4" s="32" t="s">
        <v>41</v>
      </c>
    </row>
    <row r="5" spans="1:17">
      <c r="A5" s="32">
        <v>4</v>
      </c>
      <c r="B5" s="32">
        <v>2</v>
      </c>
      <c r="C5" s="32">
        <v>2.1</v>
      </c>
      <c r="D5" s="32" t="s">
        <v>517</v>
      </c>
      <c r="E5" s="32" t="s">
        <v>525</v>
      </c>
      <c r="F5" s="32" t="s">
        <v>24</v>
      </c>
      <c r="G5" s="32">
        <v>46</v>
      </c>
      <c r="H5" s="35" t="s">
        <v>522</v>
      </c>
      <c r="I5" s="32" t="s">
        <v>526</v>
      </c>
      <c r="J5" s="32" t="s">
        <v>84</v>
      </c>
      <c r="K5" s="32" t="s">
        <v>84</v>
      </c>
      <c r="L5" s="32" t="s">
        <v>29</v>
      </c>
      <c r="M5" s="32" t="s">
        <v>30</v>
      </c>
      <c r="N5" s="32" t="s">
        <v>31</v>
      </c>
      <c r="O5" s="32" t="s">
        <v>408</v>
      </c>
      <c r="P5" s="32" t="s">
        <v>34</v>
      </c>
      <c r="Q5" s="32" t="s">
        <v>527</v>
      </c>
    </row>
    <row r="6" spans="1:17">
      <c r="A6" s="32">
        <v>5</v>
      </c>
      <c r="B6" s="32"/>
      <c r="C6" s="32">
        <v>2.2000000000000002</v>
      </c>
      <c r="D6" s="32" t="s">
        <v>517</v>
      </c>
      <c r="E6" s="32" t="s">
        <v>528</v>
      </c>
      <c r="F6" s="32" t="s">
        <v>39</v>
      </c>
      <c r="G6" s="32">
        <v>20</v>
      </c>
      <c r="H6" s="35" t="s">
        <v>529</v>
      </c>
      <c r="I6" s="32" t="s">
        <v>519</v>
      </c>
      <c r="J6" s="32" t="s">
        <v>84</v>
      </c>
      <c r="K6" s="32" t="s">
        <v>84</v>
      </c>
      <c r="L6" s="32" t="s">
        <v>29</v>
      </c>
      <c r="M6" s="32" t="s">
        <v>107</v>
      </c>
      <c r="N6" s="32" t="s">
        <v>519</v>
      </c>
      <c r="O6" s="32" t="s">
        <v>519</v>
      </c>
      <c r="P6" s="32" t="s">
        <v>519</v>
      </c>
      <c r="Q6" s="32" t="s">
        <v>523</v>
      </c>
    </row>
    <row r="7" spans="1:17">
      <c r="A7" s="32">
        <v>6</v>
      </c>
      <c r="B7" s="32"/>
      <c r="C7" s="32">
        <v>2.2999999999999998</v>
      </c>
      <c r="D7" s="32" t="s">
        <v>517</v>
      </c>
      <c r="E7" s="32" t="s">
        <v>528</v>
      </c>
      <c r="F7" s="32" t="s">
        <v>39</v>
      </c>
      <c r="G7" s="32">
        <v>15</v>
      </c>
      <c r="H7" s="34">
        <v>44854</v>
      </c>
      <c r="I7" s="32" t="s">
        <v>519</v>
      </c>
      <c r="J7" s="32" t="s">
        <v>215</v>
      </c>
      <c r="K7" s="32" t="s">
        <v>84</v>
      </c>
      <c r="L7" s="32" t="s">
        <v>29</v>
      </c>
      <c r="M7" s="32" t="s">
        <v>530</v>
      </c>
      <c r="N7" s="32" t="s">
        <v>519</v>
      </c>
      <c r="O7" s="32" t="s">
        <v>519</v>
      </c>
      <c r="P7" s="32" t="s">
        <v>519</v>
      </c>
      <c r="Q7" s="32" t="s">
        <v>41</v>
      </c>
    </row>
    <row r="8" spans="1:17">
      <c r="A8" s="32">
        <v>7</v>
      </c>
      <c r="B8" s="32">
        <v>3</v>
      </c>
      <c r="C8" s="32">
        <v>3.1</v>
      </c>
      <c r="D8" s="32" t="s">
        <v>517</v>
      </c>
      <c r="E8" s="32" t="s">
        <v>531</v>
      </c>
      <c r="F8" s="32" t="s">
        <v>24</v>
      </c>
      <c r="G8" s="32">
        <v>16</v>
      </c>
      <c r="H8" s="34">
        <v>44854</v>
      </c>
      <c r="I8" s="32" t="s">
        <v>519</v>
      </c>
      <c r="J8" s="32" t="s">
        <v>84</v>
      </c>
      <c r="K8" s="32" t="s">
        <v>532</v>
      </c>
      <c r="L8" s="32" t="s">
        <v>533</v>
      </c>
      <c r="M8" s="32" t="s">
        <v>519</v>
      </c>
      <c r="N8" s="32" t="s">
        <v>519</v>
      </c>
      <c r="O8" s="32" t="s">
        <v>519</v>
      </c>
      <c r="P8" s="32" t="s">
        <v>519</v>
      </c>
      <c r="Q8" s="32" t="s">
        <v>520</v>
      </c>
    </row>
    <row r="9" spans="1:17">
      <c r="A9" s="32">
        <v>8</v>
      </c>
      <c r="B9" s="32"/>
      <c r="C9" s="32">
        <v>3.2</v>
      </c>
      <c r="D9" s="32" t="s">
        <v>517</v>
      </c>
      <c r="E9" s="32" t="s">
        <v>534</v>
      </c>
      <c r="F9" s="32" t="s">
        <v>24</v>
      </c>
      <c r="G9" s="32">
        <v>48</v>
      </c>
      <c r="H9" s="35" t="s">
        <v>522</v>
      </c>
      <c r="I9" s="32" t="s">
        <v>26</v>
      </c>
      <c r="J9" s="32" t="s">
        <v>27</v>
      </c>
      <c r="K9" s="32" t="s">
        <v>532</v>
      </c>
      <c r="L9" s="32" t="s">
        <v>533</v>
      </c>
      <c r="M9" s="32" t="s">
        <v>30</v>
      </c>
      <c r="N9" s="32" t="s">
        <v>535</v>
      </c>
      <c r="O9" s="32" t="s">
        <v>536</v>
      </c>
      <c r="P9" s="32" t="s">
        <v>519</v>
      </c>
      <c r="Q9" s="32" t="s">
        <v>523</v>
      </c>
    </row>
    <row r="10" spans="1:17">
      <c r="A10" s="32">
        <v>9</v>
      </c>
      <c r="B10" s="32"/>
      <c r="C10" s="32">
        <v>3.3</v>
      </c>
      <c r="D10" s="32" t="s">
        <v>517</v>
      </c>
      <c r="E10" s="32" t="s">
        <v>537</v>
      </c>
      <c r="F10" s="32" t="s">
        <v>39</v>
      </c>
      <c r="G10" s="32">
        <v>55</v>
      </c>
      <c r="H10" s="35" t="s">
        <v>538</v>
      </c>
      <c r="I10" s="32" t="s">
        <v>26</v>
      </c>
      <c r="J10" s="32" t="s">
        <v>88</v>
      </c>
      <c r="K10" s="32" t="s">
        <v>532</v>
      </c>
      <c r="L10" s="32" t="s">
        <v>533</v>
      </c>
      <c r="M10" s="32" t="s">
        <v>30</v>
      </c>
      <c r="N10" s="32" t="s">
        <v>31</v>
      </c>
      <c r="O10" s="32" t="s">
        <v>539</v>
      </c>
      <c r="P10" s="32" t="s">
        <v>33</v>
      </c>
      <c r="Q10" s="32" t="s">
        <v>540</v>
      </c>
    </row>
    <row r="11" spans="1:17">
      <c r="A11" s="32">
        <v>10</v>
      </c>
      <c r="B11" s="36">
        <v>4</v>
      </c>
      <c r="C11" s="36">
        <v>4.0999999999999996</v>
      </c>
      <c r="D11" s="36" t="s">
        <v>541</v>
      </c>
      <c r="E11" s="36" t="s">
        <v>542</v>
      </c>
      <c r="F11" s="36" t="s">
        <v>24</v>
      </c>
      <c r="G11" s="37">
        <v>36</v>
      </c>
      <c r="H11" s="35" t="s">
        <v>522</v>
      </c>
      <c r="I11" s="36" t="s">
        <v>26</v>
      </c>
      <c r="J11" s="36" t="s">
        <v>543</v>
      </c>
      <c r="K11" s="36" t="s">
        <v>284</v>
      </c>
      <c r="L11" s="32" t="s">
        <v>231</v>
      </c>
      <c r="M11" s="36" t="s">
        <v>30</v>
      </c>
      <c r="N11" s="36" t="s">
        <v>535</v>
      </c>
      <c r="O11" s="36" t="s">
        <v>519</v>
      </c>
      <c r="P11" s="36" t="s">
        <v>519</v>
      </c>
      <c r="Q11" s="36" t="s">
        <v>41</v>
      </c>
    </row>
    <row r="12" spans="1:17">
      <c r="A12" s="32">
        <v>11</v>
      </c>
      <c r="B12" s="36"/>
      <c r="C12" s="36">
        <v>4.2</v>
      </c>
      <c r="D12" s="36" t="s">
        <v>541</v>
      </c>
      <c r="E12" s="36" t="s">
        <v>544</v>
      </c>
      <c r="F12" s="36" t="s">
        <v>39</v>
      </c>
      <c r="G12" s="36">
        <v>5</v>
      </c>
      <c r="H12" s="35" t="s">
        <v>545</v>
      </c>
      <c r="I12" s="36" t="s">
        <v>519</v>
      </c>
      <c r="J12" s="36" t="s">
        <v>277</v>
      </c>
      <c r="K12" s="36" t="s">
        <v>284</v>
      </c>
      <c r="L12" s="32" t="s">
        <v>231</v>
      </c>
      <c r="M12" s="36" t="s">
        <v>519</v>
      </c>
      <c r="N12" s="36" t="s">
        <v>519</v>
      </c>
      <c r="O12" s="36" t="s">
        <v>519</v>
      </c>
      <c r="P12" s="36" t="s">
        <v>519</v>
      </c>
      <c r="Q12" s="36" t="s">
        <v>519</v>
      </c>
    </row>
    <row r="13" spans="1:17">
      <c r="A13" s="32">
        <v>12</v>
      </c>
      <c r="B13" s="36"/>
      <c r="C13" s="36">
        <v>4.3</v>
      </c>
      <c r="D13" s="36" t="s">
        <v>541</v>
      </c>
      <c r="E13" s="36" t="s">
        <v>544</v>
      </c>
      <c r="F13" s="36" t="s">
        <v>24</v>
      </c>
      <c r="G13" s="36">
        <v>1.5</v>
      </c>
      <c r="H13" s="35" t="s">
        <v>545</v>
      </c>
      <c r="I13" s="36" t="s">
        <v>519</v>
      </c>
      <c r="J13" s="36" t="s">
        <v>277</v>
      </c>
      <c r="K13" s="36" t="s">
        <v>284</v>
      </c>
      <c r="L13" s="32" t="s">
        <v>231</v>
      </c>
      <c r="M13" s="36" t="s">
        <v>519</v>
      </c>
      <c r="N13" s="36" t="s">
        <v>519</v>
      </c>
      <c r="O13" s="36" t="s">
        <v>519</v>
      </c>
      <c r="P13" s="36" t="s">
        <v>519</v>
      </c>
      <c r="Q13" s="36" t="s">
        <v>519</v>
      </c>
    </row>
    <row r="14" spans="1:17">
      <c r="A14" s="32">
        <v>13</v>
      </c>
      <c r="B14" s="36"/>
      <c r="C14" s="36">
        <v>4.4000000000000004</v>
      </c>
      <c r="D14" s="36" t="s">
        <v>541</v>
      </c>
      <c r="E14" s="36" t="s">
        <v>546</v>
      </c>
      <c r="F14" s="36" t="s">
        <v>39</v>
      </c>
      <c r="G14" s="37">
        <v>37</v>
      </c>
      <c r="H14" s="35" t="s">
        <v>547</v>
      </c>
      <c r="I14" s="36" t="s">
        <v>26</v>
      </c>
      <c r="J14" s="36" t="s">
        <v>548</v>
      </c>
      <c r="K14" s="36" t="s">
        <v>284</v>
      </c>
      <c r="L14" s="32" t="s">
        <v>231</v>
      </c>
      <c r="M14" s="36" t="s">
        <v>30</v>
      </c>
      <c r="N14" s="36" t="s">
        <v>31</v>
      </c>
      <c r="O14" s="36" t="s">
        <v>549</v>
      </c>
      <c r="P14" s="36" t="s">
        <v>47</v>
      </c>
      <c r="Q14" s="36" t="s">
        <v>523</v>
      </c>
    </row>
    <row r="15" spans="1:17">
      <c r="A15" s="32">
        <v>14</v>
      </c>
      <c r="B15" s="36">
        <v>5</v>
      </c>
      <c r="C15" s="36">
        <v>5.0999999999999996</v>
      </c>
      <c r="D15" s="36" t="s">
        <v>541</v>
      </c>
      <c r="E15" s="36" t="s">
        <v>550</v>
      </c>
      <c r="F15" s="36" t="s">
        <v>24</v>
      </c>
      <c r="G15" s="37">
        <v>19</v>
      </c>
      <c r="H15" s="34">
        <v>44854</v>
      </c>
      <c r="I15" s="36" t="s">
        <v>519</v>
      </c>
      <c r="J15" s="36" t="s">
        <v>27</v>
      </c>
      <c r="K15" s="32" t="s">
        <v>320</v>
      </c>
      <c r="L15" s="32" t="s">
        <v>231</v>
      </c>
      <c r="M15" s="36" t="s">
        <v>530</v>
      </c>
      <c r="N15" s="36" t="s">
        <v>519</v>
      </c>
      <c r="O15" s="36" t="s">
        <v>519</v>
      </c>
      <c r="P15" s="36" t="s">
        <v>519</v>
      </c>
      <c r="Q15" s="36" t="s">
        <v>523</v>
      </c>
    </row>
    <row r="16" spans="1:17">
      <c r="A16" s="32">
        <v>15</v>
      </c>
      <c r="B16" s="36"/>
      <c r="C16" s="36">
        <v>5.2</v>
      </c>
      <c r="D16" s="36" t="s">
        <v>541</v>
      </c>
      <c r="E16" s="36" t="s">
        <v>550</v>
      </c>
      <c r="F16" s="36" t="s">
        <v>39</v>
      </c>
      <c r="G16" s="37">
        <v>52</v>
      </c>
      <c r="H16" s="35" t="s">
        <v>538</v>
      </c>
      <c r="I16" s="36" t="s">
        <v>26</v>
      </c>
      <c r="J16" s="38" t="s">
        <v>27</v>
      </c>
      <c r="K16" s="32" t="s">
        <v>320</v>
      </c>
      <c r="L16" s="32" t="s">
        <v>231</v>
      </c>
      <c r="M16" s="36" t="s">
        <v>30</v>
      </c>
      <c r="N16" s="36" t="s">
        <v>31</v>
      </c>
      <c r="O16" s="36" t="s">
        <v>408</v>
      </c>
      <c r="P16" s="36" t="s">
        <v>33</v>
      </c>
      <c r="Q16" s="36" t="s">
        <v>527</v>
      </c>
    </row>
    <row r="17" spans="1:17">
      <c r="A17" s="32">
        <v>16</v>
      </c>
      <c r="B17" s="36"/>
      <c r="C17" s="36">
        <v>5.3</v>
      </c>
      <c r="D17" s="36" t="s">
        <v>541</v>
      </c>
      <c r="E17" s="36" t="s">
        <v>550</v>
      </c>
      <c r="F17" s="36" t="s">
        <v>24</v>
      </c>
      <c r="G17" s="37">
        <v>48</v>
      </c>
      <c r="H17" s="35" t="s">
        <v>522</v>
      </c>
      <c r="I17" s="36" t="s">
        <v>26</v>
      </c>
      <c r="J17" s="38" t="s">
        <v>27</v>
      </c>
      <c r="K17" s="32" t="s">
        <v>320</v>
      </c>
      <c r="L17" s="32" t="s">
        <v>231</v>
      </c>
      <c r="M17" s="36" t="s">
        <v>107</v>
      </c>
      <c r="N17" s="36" t="s">
        <v>31</v>
      </c>
      <c r="O17" s="36" t="s">
        <v>408</v>
      </c>
      <c r="P17" s="36" t="s">
        <v>33</v>
      </c>
      <c r="Q17" s="36" t="s">
        <v>41</v>
      </c>
    </row>
    <row r="18" spans="1:17">
      <c r="A18" s="32">
        <v>17</v>
      </c>
      <c r="B18" s="36"/>
      <c r="C18" s="36">
        <v>5.4</v>
      </c>
      <c r="D18" s="36" t="s">
        <v>541</v>
      </c>
      <c r="E18" s="36" t="s">
        <v>550</v>
      </c>
      <c r="F18" s="36" t="s">
        <v>24</v>
      </c>
      <c r="G18" s="37">
        <v>13</v>
      </c>
      <c r="H18" s="34">
        <v>44854</v>
      </c>
      <c r="I18" s="36" t="s">
        <v>518</v>
      </c>
      <c r="J18" s="38" t="s">
        <v>27</v>
      </c>
      <c r="K18" s="32" t="s">
        <v>320</v>
      </c>
      <c r="L18" s="32" t="s">
        <v>231</v>
      </c>
      <c r="M18" s="36" t="s">
        <v>519</v>
      </c>
      <c r="N18" s="36" t="s">
        <v>519</v>
      </c>
      <c r="O18" s="36" t="s">
        <v>519</v>
      </c>
      <c r="P18" s="36" t="s">
        <v>519</v>
      </c>
      <c r="Q18" s="36" t="s">
        <v>523</v>
      </c>
    </row>
    <row r="19" spans="1:17">
      <c r="A19" s="32">
        <v>18</v>
      </c>
      <c r="B19" s="36">
        <v>6</v>
      </c>
      <c r="C19" s="36">
        <v>6.1</v>
      </c>
      <c r="D19" s="36" t="s">
        <v>541</v>
      </c>
      <c r="E19" s="36" t="s">
        <v>551</v>
      </c>
      <c r="F19" s="36" t="s">
        <v>24</v>
      </c>
      <c r="G19" s="37">
        <v>19</v>
      </c>
      <c r="H19" s="34">
        <v>44854</v>
      </c>
      <c r="I19" s="36" t="s">
        <v>518</v>
      </c>
      <c r="J19" s="38" t="s">
        <v>27</v>
      </c>
      <c r="K19" s="32" t="s">
        <v>320</v>
      </c>
      <c r="L19" s="36" t="s">
        <v>552</v>
      </c>
      <c r="M19" s="36" t="s">
        <v>530</v>
      </c>
      <c r="N19" s="36" t="s">
        <v>519</v>
      </c>
      <c r="O19" s="36" t="s">
        <v>519</v>
      </c>
      <c r="P19" s="36" t="s">
        <v>519</v>
      </c>
      <c r="Q19" s="36" t="s">
        <v>520</v>
      </c>
    </row>
    <row r="20" spans="1:17">
      <c r="A20" s="32">
        <v>19</v>
      </c>
      <c r="B20" s="36"/>
      <c r="C20" s="36">
        <v>6.2</v>
      </c>
      <c r="D20" s="36" t="s">
        <v>541</v>
      </c>
      <c r="E20" s="36" t="s">
        <v>551</v>
      </c>
      <c r="F20" s="36" t="s">
        <v>39</v>
      </c>
      <c r="G20" s="37">
        <v>53</v>
      </c>
      <c r="H20" s="35" t="s">
        <v>538</v>
      </c>
      <c r="I20" s="36" t="s">
        <v>26</v>
      </c>
      <c r="J20" s="38" t="s">
        <v>27</v>
      </c>
      <c r="K20" s="32" t="s">
        <v>320</v>
      </c>
      <c r="L20" s="36" t="s">
        <v>552</v>
      </c>
      <c r="M20" s="36" t="s">
        <v>107</v>
      </c>
      <c r="N20" s="36" t="s">
        <v>31</v>
      </c>
      <c r="O20" s="36" t="s">
        <v>553</v>
      </c>
      <c r="P20" s="36" t="s">
        <v>33</v>
      </c>
      <c r="Q20" s="36" t="s">
        <v>41</v>
      </c>
    </row>
    <row r="21" spans="1:17">
      <c r="A21" s="32">
        <v>20</v>
      </c>
      <c r="B21" s="36"/>
      <c r="C21" s="36">
        <v>6.3</v>
      </c>
      <c r="D21" s="36" t="s">
        <v>541</v>
      </c>
      <c r="E21" s="36" t="s">
        <v>554</v>
      </c>
      <c r="F21" s="36" t="s">
        <v>24</v>
      </c>
      <c r="G21" s="37">
        <v>50</v>
      </c>
      <c r="H21" s="35" t="s">
        <v>538</v>
      </c>
      <c r="I21" s="36" t="s">
        <v>26</v>
      </c>
      <c r="J21" s="38" t="s">
        <v>27</v>
      </c>
      <c r="K21" s="32" t="s">
        <v>320</v>
      </c>
      <c r="L21" s="36" t="s">
        <v>552</v>
      </c>
      <c r="M21" s="36" t="s">
        <v>107</v>
      </c>
      <c r="N21" s="36" t="s">
        <v>31</v>
      </c>
      <c r="O21" s="36" t="s">
        <v>553</v>
      </c>
      <c r="P21" s="36" t="s">
        <v>33</v>
      </c>
      <c r="Q21" s="36" t="s">
        <v>520</v>
      </c>
    </row>
    <row r="22" spans="1:17">
      <c r="A22" s="32">
        <v>21</v>
      </c>
      <c r="B22" s="32">
        <v>7</v>
      </c>
      <c r="C22" s="32">
        <v>7.1</v>
      </c>
      <c r="D22" s="32" t="s">
        <v>555</v>
      </c>
      <c r="E22" s="36" t="s">
        <v>556</v>
      </c>
      <c r="F22" s="36" t="s">
        <v>39</v>
      </c>
      <c r="G22" s="37">
        <v>20</v>
      </c>
      <c r="H22" s="35" t="s">
        <v>529</v>
      </c>
      <c r="I22" s="36" t="s">
        <v>518</v>
      </c>
      <c r="J22" s="36" t="s">
        <v>557</v>
      </c>
      <c r="K22" s="36" t="s">
        <v>281</v>
      </c>
      <c r="L22" s="36" t="s">
        <v>558</v>
      </c>
      <c r="M22" s="36" t="s">
        <v>107</v>
      </c>
      <c r="N22" s="36" t="s">
        <v>535</v>
      </c>
      <c r="O22" s="36" t="s">
        <v>519</v>
      </c>
      <c r="P22" s="36" t="s">
        <v>41</v>
      </c>
      <c r="Q22" s="36" t="s">
        <v>523</v>
      </c>
    </row>
    <row r="23" spans="1:17">
      <c r="A23" s="32">
        <v>22</v>
      </c>
      <c r="B23" s="32"/>
      <c r="C23" s="32">
        <v>7.2</v>
      </c>
      <c r="D23" s="32" t="s">
        <v>555</v>
      </c>
      <c r="E23" s="36" t="s">
        <v>556</v>
      </c>
      <c r="F23" s="36" t="s">
        <v>24</v>
      </c>
      <c r="G23" s="37">
        <v>45</v>
      </c>
      <c r="H23" s="35" t="s">
        <v>522</v>
      </c>
      <c r="I23" s="36" t="s">
        <v>26</v>
      </c>
      <c r="J23" s="36" t="s">
        <v>559</v>
      </c>
      <c r="K23" s="36" t="s">
        <v>281</v>
      </c>
      <c r="L23" s="36" t="s">
        <v>558</v>
      </c>
      <c r="M23" s="36" t="s">
        <v>107</v>
      </c>
      <c r="N23" s="36" t="s">
        <v>519</v>
      </c>
      <c r="O23" s="36" t="s">
        <v>519</v>
      </c>
      <c r="P23" s="36" t="s">
        <v>519</v>
      </c>
      <c r="Q23" s="36" t="s">
        <v>41</v>
      </c>
    </row>
    <row r="24" spans="1:17">
      <c r="A24" s="32">
        <v>23</v>
      </c>
      <c r="B24" s="32"/>
      <c r="C24" s="32">
        <v>7.3</v>
      </c>
      <c r="D24" s="32" t="s">
        <v>555</v>
      </c>
      <c r="E24" s="36" t="s">
        <v>560</v>
      </c>
      <c r="F24" s="36" t="s">
        <v>24</v>
      </c>
      <c r="G24" s="37">
        <v>74</v>
      </c>
      <c r="H24" s="35" t="s">
        <v>561</v>
      </c>
      <c r="I24" s="36" t="s">
        <v>26</v>
      </c>
      <c r="J24" s="36" t="s">
        <v>562</v>
      </c>
      <c r="K24" s="36" t="s">
        <v>281</v>
      </c>
      <c r="L24" s="36" t="s">
        <v>558</v>
      </c>
      <c r="M24" s="36" t="s">
        <v>519</v>
      </c>
      <c r="N24" s="36" t="s">
        <v>519</v>
      </c>
      <c r="O24" s="36" t="s">
        <v>519</v>
      </c>
      <c r="P24" s="36" t="s">
        <v>519</v>
      </c>
      <c r="Q24" s="36" t="s">
        <v>523</v>
      </c>
    </row>
    <row r="25" spans="1:17">
      <c r="A25" s="32">
        <v>24</v>
      </c>
      <c r="B25" s="32"/>
      <c r="C25" s="32">
        <v>7.4</v>
      </c>
      <c r="D25" s="32" t="s">
        <v>555</v>
      </c>
      <c r="E25" s="36" t="s">
        <v>563</v>
      </c>
      <c r="F25" s="36" t="s">
        <v>39</v>
      </c>
      <c r="G25" s="37">
        <v>17</v>
      </c>
      <c r="H25" s="34">
        <v>44854</v>
      </c>
      <c r="I25" s="36" t="s">
        <v>519</v>
      </c>
      <c r="J25" s="36" t="s">
        <v>564</v>
      </c>
      <c r="K25" s="36" t="s">
        <v>281</v>
      </c>
      <c r="L25" s="36" t="s">
        <v>558</v>
      </c>
      <c r="M25" s="36" t="s">
        <v>530</v>
      </c>
      <c r="N25" s="36" t="s">
        <v>519</v>
      </c>
      <c r="O25" s="36" t="s">
        <v>519</v>
      </c>
      <c r="P25" s="36" t="s">
        <v>519</v>
      </c>
      <c r="Q25" s="36" t="s">
        <v>41</v>
      </c>
    </row>
    <row r="26" spans="1:17">
      <c r="A26" s="32">
        <v>25</v>
      </c>
      <c r="B26" s="32"/>
      <c r="C26" s="32">
        <v>7.5</v>
      </c>
      <c r="D26" s="32" t="s">
        <v>555</v>
      </c>
      <c r="E26" s="36" t="s">
        <v>565</v>
      </c>
      <c r="F26" s="36" t="s">
        <v>39</v>
      </c>
      <c r="G26" s="37">
        <v>47</v>
      </c>
      <c r="H26" s="35" t="s">
        <v>522</v>
      </c>
      <c r="I26" s="36" t="s">
        <v>26</v>
      </c>
      <c r="J26" s="36" t="s">
        <v>564</v>
      </c>
      <c r="K26" s="36" t="s">
        <v>281</v>
      </c>
      <c r="L26" s="36" t="s">
        <v>558</v>
      </c>
      <c r="M26" s="36" t="s">
        <v>107</v>
      </c>
      <c r="N26" s="36" t="s">
        <v>31</v>
      </c>
      <c r="O26" s="36" t="s">
        <v>549</v>
      </c>
      <c r="P26" s="36" t="s">
        <v>33</v>
      </c>
      <c r="Q26" s="36" t="s">
        <v>523</v>
      </c>
    </row>
    <row r="27" spans="1:17">
      <c r="A27" s="32">
        <v>26</v>
      </c>
      <c r="B27" s="32">
        <v>8</v>
      </c>
      <c r="C27" s="32">
        <v>8.1</v>
      </c>
      <c r="D27" s="32" t="s">
        <v>555</v>
      </c>
      <c r="E27" s="36" t="s">
        <v>566</v>
      </c>
      <c r="F27" s="36" t="s">
        <v>39</v>
      </c>
      <c r="G27" s="37">
        <v>36</v>
      </c>
      <c r="H27" s="35" t="s">
        <v>547</v>
      </c>
      <c r="I27" s="36" t="s">
        <v>26</v>
      </c>
      <c r="J27" s="36" t="s">
        <v>27</v>
      </c>
      <c r="K27" s="36" t="s">
        <v>284</v>
      </c>
      <c r="L27" s="32" t="s">
        <v>231</v>
      </c>
      <c r="M27" s="36" t="s">
        <v>30</v>
      </c>
      <c r="N27" s="36" t="s">
        <v>31</v>
      </c>
      <c r="O27" s="36" t="s">
        <v>408</v>
      </c>
      <c r="P27" s="36" t="s">
        <v>33</v>
      </c>
      <c r="Q27" s="36" t="s">
        <v>41</v>
      </c>
    </row>
    <row r="28" spans="1:17">
      <c r="A28" s="32">
        <v>27</v>
      </c>
      <c r="B28" s="32"/>
      <c r="C28" s="32">
        <v>8.1999999999999993</v>
      </c>
      <c r="D28" s="32" t="s">
        <v>555</v>
      </c>
      <c r="E28" s="36" t="s">
        <v>567</v>
      </c>
      <c r="F28" s="36" t="s">
        <v>24</v>
      </c>
      <c r="G28" s="37">
        <v>35</v>
      </c>
      <c r="H28" s="35" t="s">
        <v>547</v>
      </c>
      <c r="I28" s="36" t="s">
        <v>26</v>
      </c>
      <c r="J28" s="36" t="s">
        <v>564</v>
      </c>
      <c r="K28" s="36" t="s">
        <v>284</v>
      </c>
      <c r="L28" s="36" t="s">
        <v>558</v>
      </c>
      <c r="M28" s="36" t="s">
        <v>30</v>
      </c>
      <c r="N28" s="36" t="s">
        <v>31</v>
      </c>
      <c r="O28" s="36" t="s">
        <v>408</v>
      </c>
      <c r="P28" s="36" t="s">
        <v>33</v>
      </c>
      <c r="Q28" s="36" t="s">
        <v>519</v>
      </c>
    </row>
    <row r="29" spans="1:17">
      <c r="A29" s="32">
        <v>28</v>
      </c>
      <c r="B29" s="32"/>
      <c r="C29" s="32">
        <v>8.3000000000000007</v>
      </c>
      <c r="D29" s="32" t="s">
        <v>555</v>
      </c>
      <c r="E29" s="36" t="s">
        <v>568</v>
      </c>
      <c r="F29" s="36" t="s">
        <v>39</v>
      </c>
      <c r="G29" s="37">
        <v>3</v>
      </c>
      <c r="H29" s="35" t="s">
        <v>545</v>
      </c>
      <c r="I29" s="36" t="s">
        <v>519</v>
      </c>
      <c r="J29" s="36" t="s">
        <v>277</v>
      </c>
      <c r="K29" s="36" t="s">
        <v>284</v>
      </c>
      <c r="L29" s="32" t="s">
        <v>231</v>
      </c>
      <c r="M29" s="36" t="s">
        <v>519</v>
      </c>
      <c r="N29" s="36" t="s">
        <v>519</v>
      </c>
      <c r="O29" s="36" t="s">
        <v>519</v>
      </c>
      <c r="P29" s="36" t="s">
        <v>519</v>
      </c>
      <c r="Q29" s="36" t="s">
        <v>519</v>
      </c>
    </row>
    <row r="30" spans="1:17">
      <c r="A30" s="32">
        <v>29</v>
      </c>
      <c r="B30" s="32">
        <v>9</v>
      </c>
      <c r="C30" s="32">
        <v>9.1</v>
      </c>
      <c r="D30" s="32" t="s">
        <v>555</v>
      </c>
      <c r="E30" s="36" t="s">
        <v>569</v>
      </c>
      <c r="F30" s="36" t="s">
        <v>39</v>
      </c>
      <c r="G30" s="37">
        <v>48</v>
      </c>
      <c r="H30" s="35" t="s">
        <v>522</v>
      </c>
      <c r="I30" s="36" t="s">
        <v>26</v>
      </c>
      <c r="J30" s="36" t="s">
        <v>564</v>
      </c>
      <c r="K30" s="36" t="s">
        <v>281</v>
      </c>
      <c r="L30" s="36" t="s">
        <v>139</v>
      </c>
      <c r="M30" s="36" t="s">
        <v>530</v>
      </c>
      <c r="N30" s="36" t="s">
        <v>31</v>
      </c>
      <c r="O30" s="36" t="s">
        <v>408</v>
      </c>
      <c r="P30" s="36" t="s">
        <v>47</v>
      </c>
      <c r="Q30" s="36" t="s">
        <v>523</v>
      </c>
    </row>
    <row r="31" spans="1:17">
      <c r="A31" s="32">
        <v>30</v>
      </c>
      <c r="B31" s="32"/>
      <c r="C31" s="32">
        <v>9.1999999999999993</v>
      </c>
      <c r="D31" s="32" t="s">
        <v>555</v>
      </c>
      <c r="E31" s="36" t="s">
        <v>569</v>
      </c>
      <c r="F31" s="36" t="s">
        <v>24</v>
      </c>
      <c r="G31" s="37">
        <v>45</v>
      </c>
      <c r="H31" s="35" t="s">
        <v>522</v>
      </c>
      <c r="I31" s="36" t="s">
        <v>26</v>
      </c>
      <c r="J31" s="36" t="s">
        <v>570</v>
      </c>
      <c r="K31" s="36" t="s">
        <v>281</v>
      </c>
      <c r="L31" s="36" t="s">
        <v>571</v>
      </c>
      <c r="M31" s="36" t="s">
        <v>30</v>
      </c>
      <c r="N31" s="36" t="s">
        <v>31</v>
      </c>
      <c r="O31" s="36" t="s">
        <v>519</v>
      </c>
      <c r="P31" s="36" t="s">
        <v>33</v>
      </c>
      <c r="Q31" s="36" t="s">
        <v>41</v>
      </c>
    </row>
    <row r="32" spans="1:17">
      <c r="A32" s="32">
        <v>31</v>
      </c>
      <c r="B32" s="32"/>
      <c r="C32" s="32">
        <v>9.3000000000000007</v>
      </c>
      <c r="D32" s="32" t="s">
        <v>555</v>
      </c>
      <c r="E32" s="36" t="s">
        <v>572</v>
      </c>
      <c r="F32" s="36" t="s">
        <v>39</v>
      </c>
      <c r="G32" s="37">
        <v>19</v>
      </c>
      <c r="H32" s="34">
        <v>44854</v>
      </c>
      <c r="I32" s="36" t="s">
        <v>518</v>
      </c>
      <c r="J32" s="36" t="s">
        <v>564</v>
      </c>
      <c r="K32" s="36" t="s">
        <v>284</v>
      </c>
      <c r="L32" s="36" t="s">
        <v>139</v>
      </c>
      <c r="M32" s="36" t="s">
        <v>107</v>
      </c>
      <c r="N32" s="36" t="s">
        <v>535</v>
      </c>
      <c r="O32" s="36" t="s">
        <v>519</v>
      </c>
      <c r="P32" s="36" t="s">
        <v>519</v>
      </c>
      <c r="Q32" s="36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9AD9-8D22-49F1-8795-59E5E9791E42}">
  <dimension ref="A1:L244"/>
  <sheetViews>
    <sheetView tabSelected="1" workbookViewId="0">
      <pane ySplit="1" topLeftCell="A2" activePane="bottomLeft" state="frozen"/>
      <selection pane="bottomLeft" activeCell="L179" sqref="L179"/>
    </sheetView>
  </sheetViews>
  <sheetFormatPr defaultRowHeight="14.6"/>
  <cols>
    <col min="1" max="1" width="13.69140625" customWidth="1"/>
    <col min="2" max="2" width="13.23046875" customWidth="1"/>
    <col min="6" max="6" width="14.07421875" customWidth="1"/>
    <col min="7" max="8" width="20.4609375" customWidth="1"/>
    <col min="9" max="10" width="15.4609375" customWidth="1"/>
    <col min="11" max="11" width="15.84375" customWidth="1"/>
    <col min="12" max="12" width="16.61328125" customWidth="1"/>
  </cols>
  <sheetData>
    <row r="1" spans="1:12" ht="42.9">
      <c r="A1" s="39" t="s">
        <v>1</v>
      </c>
      <c r="B1" s="39" t="s">
        <v>2</v>
      </c>
      <c r="C1" s="39" t="s">
        <v>4</v>
      </c>
      <c r="D1" s="39" t="s">
        <v>5</v>
      </c>
      <c r="E1" s="39" t="s">
        <v>6</v>
      </c>
      <c r="F1" s="39" t="s">
        <v>7</v>
      </c>
      <c r="G1" s="39" t="s">
        <v>612</v>
      </c>
      <c r="H1" s="39" t="s">
        <v>613</v>
      </c>
      <c r="I1" s="39" t="s">
        <v>630</v>
      </c>
      <c r="J1" s="39" t="s">
        <v>631</v>
      </c>
      <c r="K1" s="39" t="s">
        <v>10</v>
      </c>
      <c r="L1" s="39" t="s">
        <v>11</v>
      </c>
    </row>
    <row r="2" spans="1:12">
      <c r="A2" s="41" t="s">
        <v>20</v>
      </c>
      <c r="B2" s="40">
        <v>1</v>
      </c>
      <c r="C2" s="40" t="str">
        <f>CONCATENATE(A2,B2)</f>
        <v>A1</v>
      </c>
      <c r="D2" s="40" t="s">
        <v>24</v>
      </c>
      <c r="E2" s="40">
        <v>45</v>
      </c>
      <c r="F2" s="40" t="s">
        <v>26</v>
      </c>
      <c r="G2" s="40" t="s">
        <v>27</v>
      </c>
      <c r="H2" s="40" t="s">
        <v>614</v>
      </c>
      <c r="I2" s="40" t="s">
        <v>28</v>
      </c>
      <c r="J2" s="40" t="s">
        <v>615</v>
      </c>
      <c r="K2" s="40" t="s">
        <v>29</v>
      </c>
      <c r="L2" s="40" t="s">
        <v>30</v>
      </c>
    </row>
    <row r="3" spans="1:12">
      <c r="A3" s="41" t="s">
        <v>20</v>
      </c>
      <c r="B3" s="40">
        <f>B2+1</f>
        <v>2</v>
      </c>
      <c r="C3" s="40" t="str">
        <f t="shared" ref="C3:C66" si="0">CONCATENATE(A3,B3)</f>
        <v>A2</v>
      </c>
      <c r="D3" s="40" t="s">
        <v>39</v>
      </c>
      <c r="E3" s="40">
        <v>47</v>
      </c>
      <c r="F3" s="40" t="s">
        <v>26</v>
      </c>
      <c r="G3" s="40" t="s">
        <v>27</v>
      </c>
      <c r="H3" s="40" t="s">
        <v>614</v>
      </c>
      <c r="I3" s="40" t="s">
        <v>28</v>
      </c>
      <c r="J3" s="40" t="s">
        <v>615</v>
      </c>
      <c r="K3" s="40" t="s">
        <v>29</v>
      </c>
      <c r="L3" s="40" t="s">
        <v>30</v>
      </c>
    </row>
    <row r="4" spans="1:12">
      <c r="A4" s="41" t="s">
        <v>20</v>
      </c>
      <c r="B4" s="40">
        <f t="shared" ref="B4:B67" si="1">B3+1</f>
        <v>3</v>
      </c>
      <c r="C4" s="40" t="str">
        <f t="shared" si="0"/>
        <v>A3</v>
      </c>
      <c r="D4" s="40" t="s">
        <v>24</v>
      </c>
      <c r="E4" s="40">
        <v>18</v>
      </c>
      <c r="F4" s="40" t="s">
        <v>44</v>
      </c>
      <c r="G4" s="40" t="s">
        <v>27</v>
      </c>
      <c r="H4" s="40" t="s">
        <v>614</v>
      </c>
      <c r="I4" s="40" t="s">
        <v>28</v>
      </c>
      <c r="J4" s="40" t="s">
        <v>615</v>
      </c>
      <c r="K4" s="40" t="s">
        <v>29</v>
      </c>
      <c r="L4" s="40" t="s">
        <v>45</v>
      </c>
    </row>
    <row r="5" spans="1:12">
      <c r="A5" s="41" t="s">
        <v>48</v>
      </c>
      <c r="B5" s="40">
        <f t="shared" si="1"/>
        <v>4</v>
      </c>
      <c r="C5" s="40" t="str">
        <f t="shared" si="0"/>
        <v>B4</v>
      </c>
      <c r="D5" s="40" t="s">
        <v>24</v>
      </c>
      <c r="E5" s="40">
        <v>22</v>
      </c>
      <c r="F5" s="40" t="s">
        <v>44</v>
      </c>
      <c r="G5" s="40" t="s">
        <v>28</v>
      </c>
      <c r="H5" s="40" t="s">
        <v>615</v>
      </c>
      <c r="I5" s="40" t="s">
        <v>28</v>
      </c>
      <c r="J5" s="40" t="s">
        <v>615</v>
      </c>
      <c r="K5" s="40" t="s">
        <v>52</v>
      </c>
      <c r="L5" s="40" t="s">
        <v>53</v>
      </c>
    </row>
    <row r="6" spans="1:12">
      <c r="A6" s="41" t="s">
        <v>48</v>
      </c>
      <c r="B6" s="40">
        <f t="shared" si="1"/>
        <v>5</v>
      </c>
      <c r="C6" s="40" t="str">
        <f t="shared" si="0"/>
        <v>B5</v>
      </c>
      <c r="D6" s="40" t="s">
        <v>24</v>
      </c>
      <c r="E6" s="40">
        <v>50</v>
      </c>
      <c r="F6" s="40" t="s">
        <v>26</v>
      </c>
      <c r="G6" s="40" t="s">
        <v>28</v>
      </c>
      <c r="H6" s="40" t="s">
        <v>615</v>
      </c>
      <c r="I6" s="40" t="s">
        <v>56</v>
      </c>
      <c r="J6" s="40" t="s">
        <v>620</v>
      </c>
      <c r="K6" s="40" t="s">
        <v>52</v>
      </c>
      <c r="L6" s="40" t="s">
        <v>30</v>
      </c>
    </row>
    <row r="7" spans="1:12">
      <c r="A7" s="41" t="s">
        <v>48</v>
      </c>
      <c r="B7" s="40">
        <f t="shared" si="1"/>
        <v>6</v>
      </c>
      <c r="C7" s="40" t="str">
        <f t="shared" si="0"/>
        <v>B6</v>
      </c>
      <c r="D7" s="40" t="s">
        <v>39</v>
      </c>
      <c r="E7" s="40">
        <v>62</v>
      </c>
      <c r="F7" s="40" t="s">
        <v>26</v>
      </c>
      <c r="G7" s="40" t="s">
        <v>28</v>
      </c>
      <c r="H7" s="40" t="s">
        <v>615</v>
      </c>
      <c r="I7" s="40" t="s">
        <v>61</v>
      </c>
      <c r="J7" s="40" t="s">
        <v>632</v>
      </c>
      <c r="K7" s="40" t="s">
        <v>52</v>
      </c>
      <c r="L7" s="40" t="s">
        <v>30</v>
      </c>
    </row>
    <row r="8" spans="1:12">
      <c r="A8" s="41" t="s">
        <v>64</v>
      </c>
      <c r="B8" s="40">
        <f t="shared" si="1"/>
        <v>7</v>
      </c>
      <c r="C8" s="40" t="str">
        <f t="shared" si="0"/>
        <v>C7</v>
      </c>
      <c r="D8" s="40" t="s">
        <v>39</v>
      </c>
      <c r="E8" s="40">
        <v>52</v>
      </c>
      <c r="F8" s="40" t="s">
        <v>26</v>
      </c>
      <c r="G8" s="40" t="s">
        <v>27</v>
      </c>
      <c r="H8" s="40" t="s">
        <v>614</v>
      </c>
      <c r="I8" s="40" t="s">
        <v>67</v>
      </c>
      <c r="J8" s="40" t="s">
        <v>614</v>
      </c>
      <c r="K8" s="40" t="s">
        <v>68</v>
      </c>
      <c r="L8" s="40" t="s">
        <v>45</v>
      </c>
    </row>
    <row r="9" spans="1:12">
      <c r="A9" s="41" t="s">
        <v>64</v>
      </c>
      <c r="B9" s="40">
        <f t="shared" si="1"/>
        <v>8</v>
      </c>
      <c r="C9" s="40" t="str">
        <f t="shared" si="0"/>
        <v>C8</v>
      </c>
      <c r="D9" s="40" t="s">
        <v>24</v>
      </c>
      <c r="E9" s="40">
        <v>42</v>
      </c>
      <c r="F9" s="40" t="s">
        <v>26</v>
      </c>
      <c r="G9" s="40" t="s">
        <v>27</v>
      </c>
      <c r="H9" s="40" t="s">
        <v>614</v>
      </c>
      <c r="I9" s="40" t="s">
        <v>72</v>
      </c>
      <c r="J9" s="40" t="s">
        <v>614</v>
      </c>
      <c r="K9" s="40" t="s">
        <v>68</v>
      </c>
      <c r="L9" s="40" t="s">
        <v>73</v>
      </c>
    </row>
    <row r="10" spans="1:12">
      <c r="A10" s="41" t="s">
        <v>64</v>
      </c>
      <c r="B10" s="40">
        <f t="shared" si="1"/>
        <v>9</v>
      </c>
      <c r="C10" s="40" t="str">
        <f t="shared" si="0"/>
        <v>C9</v>
      </c>
      <c r="D10" s="40" t="s">
        <v>24</v>
      </c>
      <c r="E10" s="40">
        <v>17</v>
      </c>
      <c r="F10" s="40" t="s">
        <v>44</v>
      </c>
      <c r="G10" s="40" t="s">
        <v>27</v>
      </c>
      <c r="H10" s="40" t="s">
        <v>614</v>
      </c>
      <c r="I10" s="40" t="s">
        <v>27</v>
      </c>
      <c r="J10" s="40" t="s">
        <v>614</v>
      </c>
      <c r="K10" s="40" t="s">
        <v>68</v>
      </c>
      <c r="L10" s="40" t="s">
        <v>45</v>
      </c>
    </row>
    <row r="11" spans="1:12">
      <c r="A11" s="41" t="s">
        <v>64</v>
      </c>
      <c r="B11" s="40">
        <f t="shared" si="1"/>
        <v>10</v>
      </c>
      <c r="C11" s="40" t="str">
        <f t="shared" si="0"/>
        <v>C10</v>
      </c>
      <c r="D11" s="40" t="s">
        <v>24</v>
      </c>
      <c r="E11" s="40">
        <v>70</v>
      </c>
      <c r="F11" s="40" t="s">
        <v>26</v>
      </c>
      <c r="G11" s="40" t="s">
        <v>27</v>
      </c>
      <c r="H11" s="40" t="s">
        <v>614</v>
      </c>
      <c r="I11" s="40" t="s">
        <v>67</v>
      </c>
      <c r="J11" s="40" t="s">
        <v>614</v>
      </c>
      <c r="K11" s="40" t="s">
        <v>68</v>
      </c>
      <c r="L11" s="40" t="s">
        <v>73</v>
      </c>
    </row>
    <row r="12" spans="1:12">
      <c r="A12" s="40" t="s">
        <v>80</v>
      </c>
      <c r="B12" s="40">
        <f t="shared" si="1"/>
        <v>11</v>
      </c>
      <c r="C12" s="40" t="str">
        <f t="shared" si="0"/>
        <v>D11</v>
      </c>
      <c r="D12" s="40" t="s">
        <v>24</v>
      </c>
      <c r="E12" s="40">
        <v>18</v>
      </c>
      <c r="F12" s="40" t="s">
        <v>44</v>
      </c>
      <c r="G12" s="40" t="s">
        <v>84</v>
      </c>
      <c r="H12" s="40" t="s">
        <v>616</v>
      </c>
      <c r="I12" s="40" t="s">
        <v>84</v>
      </c>
      <c r="J12" s="40" t="s">
        <v>616</v>
      </c>
      <c r="K12" s="40" t="s">
        <v>85</v>
      </c>
      <c r="L12" s="40" t="s">
        <v>45</v>
      </c>
    </row>
    <row r="13" spans="1:12">
      <c r="A13" s="40" t="s">
        <v>80</v>
      </c>
      <c r="B13" s="40">
        <f t="shared" si="1"/>
        <v>12</v>
      </c>
      <c r="C13" s="40" t="str">
        <f t="shared" si="0"/>
        <v>D12</v>
      </c>
      <c r="D13" s="40" t="s">
        <v>24</v>
      </c>
      <c r="E13" s="40">
        <v>50</v>
      </c>
      <c r="F13" s="40" t="s">
        <v>26</v>
      </c>
      <c r="G13" s="40" t="s">
        <v>84</v>
      </c>
      <c r="H13" s="40" t="s">
        <v>616</v>
      </c>
      <c r="I13" s="40" t="s">
        <v>88</v>
      </c>
      <c r="J13" s="40" t="s">
        <v>618</v>
      </c>
      <c r="K13" s="40" t="s">
        <v>85</v>
      </c>
      <c r="L13" s="40" t="s">
        <v>89</v>
      </c>
    </row>
    <row r="14" spans="1:12">
      <c r="A14" s="40" t="s">
        <v>80</v>
      </c>
      <c r="B14" s="40">
        <f t="shared" si="1"/>
        <v>13</v>
      </c>
      <c r="C14" s="40" t="str">
        <f t="shared" si="0"/>
        <v>D13</v>
      </c>
      <c r="D14" s="40" t="s">
        <v>24</v>
      </c>
      <c r="E14" s="40">
        <v>22</v>
      </c>
      <c r="F14" s="40" t="s">
        <v>44</v>
      </c>
      <c r="G14" s="40" t="s">
        <v>84</v>
      </c>
      <c r="H14" s="40" t="s">
        <v>616</v>
      </c>
      <c r="I14" s="40" t="s">
        <v>88</v>
      </c>
      <c r="J14" s="40" t="s">
        <v>618</v>
      </c>
      <c r="K14" s="40" t="s">
        <v>85</v>
      </c>
      <c r="L14" s="40" t="s">
        <v>53</v>
      </c>
    </row>
    <row r="15" spans="1:12">
      <c r="A15" s="41" t="s">
        <v>92</v>
      </c>
      <c r="B15" s="40">
        <f t="shared" si="1"/>
        <v>14</v>
      </c>
      <c r="C15" s="40" t="str">
        <f t="shared" si="0"/>
        <v>E14</v>
      </c>
      <c r="D15" s="41" t="s">
        <v>24</v>
      </c>
      <c r="E15" s="41">
        <v>25</v>
      </c>
      <c r="F15" s="41" t="s">
        <v>26</v>
      </c>
      <c r="G15" s="41" t="s">
        <v>95</v>
      </c>
      <c r="H15" s="41" t="s">
        <v>617</v>
      </c>
      <c r="I15" s="41" t="s">
        <v>28</v>
      </c>
      <c r="J15" s="41" t="s">
        <v>615</v>
      </c>
      <c r="K15" s="41" t="s">
        <v>52</v>
      </c>
      <c r="L15" s="41" t="s">
        <v>30</v>
      </c>
    </row>
    <row r="16" spans="1:12">
      <c r="A16" s="41" t="s">
        <v>92</v>
      </c>
      <c r="B16" s="40">
        <f t="shared" si="1"/>
        <v>15</v>
      </c>
      <c r="C16" s="40" t="str">
        <f t="shared" si="0"/>
        <v>E15</v>
      </c>
      <c r="D16" s="41" t="s">
        <v>39</v>
      </c>
      <c r="E16" s="41">
        <v>32</v>
      </c>
      <c r="F16" s="41" t="s">
        <v>26</v>
      </c>
      <c r="G16" s="41" t="s">
        <v>95</v>
      </c>
      <c r="H16" s="41" t="s">
        <v>617</v>
      </c>
      <c r="I16" s="41" t="s">
        <v>28</v>
      </c>
      <c r="J16" s="41" t="s">
        <v>615</v>
      </c>
      <c r="K16" s="41" t="s">
        <v>52</v>
      </c>
      <c r="L16" s="41" t="s">
        <v>30</v>
      </c>
    </row>
    <row r="17" spans="1:12">
      <c r="A17" s="41" t="s">
        <v>99</v>
      </c>
      <c r="B17" s="40">
        <f t="shared" si="1"/>
        <v>16</v>
      </c>
      <c r="C17" s="40" t="str">
        <f t="shared" si="0"/>
        <v>F16</v>
      </c>
      <c r="D17" s="41" t="s">
        <v>39</v>
      </c>
      <c r="E17" s="41">
        <v>30</v>
      </c>
      <c r="F17" s="41" t="s">
        <v>44</v>
      </c>
      <c r="G17" s="41" t="s">
        <v>95</v>
      </c>
      <c r="H17" s="41" t="s">
        <v>617</v>
      </c>
      <c r="I17" s="41" t="s">
        <v>28</v>
      </c>
      <c r="J17" s="41" t="s">
        <v>615</v>
      </c>
      <c r="K17" s="41" t="s">
        <v>52</v>
      </c>
      <c r="L17" s="41" t="s">
        <v>30</v>
      </c>
    </row>
    <row r="18" spans="1:12">
      <c r="A18" s="41" t="s">
        <v>99</v>
      </c>
      <c r="B18" s="40">
        <f t="shared" si="1"/>
        <v>17</v>
      </c>
      <c r="C18" s="40" t="str">
        <f t="shared" si="0"/>
        <v>F17</v>
      </c>
      <c r="D18" s="41" t="s">
        <v>39</v>
      </c>
      <c r="E18" s="40">
        <v>18</v>
      </c>
      <c r="F18" s="41" t="s">
        <v>44</v>
      </c>
      <c r="G18" s="41" t="s">
        <v>28</v>
      </c>
      <c r="H18" s="41" t="s">
        <v>615</v>
      </c>
      <c r="I18" s="41" t="s">
        <v>28</v>
      </c>
      <c r="J18" s="41" t="s">
        <v>615</v>
      </c>
      <c r="K18" s="41" t="s">
        <v>104</v>
      </c>
      <c r="L18" s="41" t="s">
        <v>53</v>
      </c>
    </row>
    <row r="19" spans="1:12">
      <c r="A19" s="41" t="s">
        <v>99</v>
      </c>
      <c r="B19" s="40">
        <f t="shared" si="1"/>
        <v>18</v>
      </c>
      <c r="C19" s="40" t="str">
        <f t="shared" si="0"/>
        <v>F18</v>
      </c>
      <c r="D19" s="41" t="s">
        <v>39</v>
      </c>
      <c r="E19" s="41">
        <v>65</v>
      </c>
      <c r="F19" s="41" t="s">
        <v>26</v>
      </c>
      <c r="G19" s="41" t="s">
        <v>27</v>
      </c>
      <c r="H19" s="41" t="s">
        <v>614</v>
      </c>
      <c r="I19" s="41" t="s">
        <v>28</v>
      </c>
      <c r="J19" s="41" t="s">
        <v>615</v>
      </c>
      <c r="K19" s="41" t="s">
        <v>52</v>
      </c>
      <c r="L19" s="41" t="s">
        <v>107</v>
      </c>
    </row>
    <row r="20" spans="1:12">
      <c r="A20" s="41" t="s">
        <v>108</v>
      </c>
      <c r="B20" s="40">
        <f t="shared" si="1"/>
        <v>19</v>
      </c>
      <c r="C20" s="40" t="str">
        <f t="shared" si="0"/>
        <v>G19</v>
      </c>
      <c r="D20" s="41" t="s">
        <v>24</v>
      </c>
      <c r="E20" s="41">
        <v>20</v>
      </c>
      <c r="F20" s="41" t="s">
        <v>44</v>
      </c>
      <c r="G20" s="41" t="s">
        <v>88</v>
      </c>
      <c r="H20" s="41" t="s">
        <v>618</v>
      </c>
      <c r="I20" s="41" t="s">
        <v>111</v>
      </c>
      <c r="J20" s="41" t="s">
        <v>618</v>
      </c>
      <c r="K20" s="41" t="s">
        <v>85</v>
      </c>
      <c r="L20" s="41" t="s">
        <v>53</v>
      </c>
    </row>
    <row r="21" spans="1:12">
      <c r="A21" s="41" t="s">
        <v>108</v>
      </c>
      <c r="B21" s="40">
        <f t="shared" si="1"/>
        <v>20</v>
      </c>
      <c r="C21" s="40" t="str">
        <f t="shared" si="0"/>
        <v>G20</v>
      </c>
      <c r="D21" s="41" t="s">
        <v>39</v>
      </c>
      <c r="E21" s="41">
        <v>39</v>
      </c>
      <c r="F21" s="41" t="s">
        <v>26</v>
      </c>
      <c r="G21" s="41" t="s">
        <v>88</v>
      </c>
      <c r="H21" s="41" t="s">
        <v>618</v>
      </c>
      <c r="I21" s="41" t="s">
        <v>111</v>
      </c>
      <c r="J21" s="41" t="s">
        <v>618</v>
      </c>
      <c r="K21" s="41" t="s">
        <v>85</v>
      </c>
      <c r="L21" s="41" t="s">
        <v>30</v>
      </c>
    </row>
    <row r="22" spans="1:12">
      <c r="A22" s="41" t="s">
        <v>108</v>
      </c>
      <c r="B22" s="40">
        <f t="shared" si="1"/>
        <v>21</v>
      </c>
      <c r="C22" s="40" t="str">
        <f t="shared" si="0"/>
        <v>G21</v>
      </c>
      <c r="D22" s="41" t="s">
        <v>24</v>
      </c>
      <c r="E22" s="41">
        <v>42</v>
      </c>
      <c r="F22" s="41" t="s">
        <v>26</v>
      </c>
      <c r="G22" s="41" t="s">
        <v>88</v>
      </c>
      <c r="H22" s="41" t="s">
        <v>618</v>
      </c>
      <c r="I22" s="41" t="s">
        <v>633</v>
      </c>
      <c r="J22" s="41" t="s">
        <v>618</v>
      </c>
      <c r="K22" s="41" t="s">
        <v>85</v>
      </c>
      <c r="L22" s="41" t="s">
        <v>107</v>
      </c>
    </row>
    <row r="23" spans="1:12">
      <c r="A23" s="41" t="s">
        <v>117</v>
      </c>
      <c r="B23" s="40">
        <f t="shared" si="1"/>
        <v>22</v>
      </c>
      <c r="C23" s="40" t="str">
        <f t="shared" si="0"/>
        <v>H22</v>
      </c>
      <c r="D23" s="41" t="s">
        <v>24</v>
      </c>
      <c r="E23" s="41">
        <v>53</v>
      </c>
      <c r="F23" s="41" t="s">
        <v>26</v>
      </c>
      <c r="G23" s="41" t="s">
        <v>88</v>
      </c>
      <c r="H23" s="41" t="s">
        <v>618</v>
      </c>
      <c r="I23" s="41" t="s">
        <v>27</v>
      </c>
      <c r="J23" s="41" t="s">
        <v>614</v>
      </c>
      <c r="K23" s="41" t="s">
        <v>29</v>
      </c>
      <c r="L23" s="41" t="s">
        <v>89</v>
      </c>
    </row>
    <row r="24" spans="1:12">
      <c r="A24" s="41" t="s">
        <v>117</v>
      </c>
      <c r="B24" s="40">
        <f t="shared" si="1"/>
        <v>23</v>
      </c>
      <c r="C24" s="40" t="str">
        <f t="shared" si="0"/>
        <v>H23</v>
      </c>
      <c r="D24" s="41" t="s">
        <v>39</v>
      </c>
      <c r="E24" s="41">
        <v>24</v>
      </c>
      <c r="F24" s="41" t="s">
        <v>26</v>
      </c>
      <c r="G24" s="41" t="s">
        <v>88</v>
      </c>
      <c r="H24" s="41" t="s">
        <v>618</v>
      </c>
      <c r="I24" s="41" t="s">
        <v>27</v>
      </c>
      <c r="J24" s="41" t="s">
        <v>614</v>
      </c>
      <c r="K24" s="41" t="s">
        <v>29</v>
      </c>
      <c r="L24" s="41" t="s">
        <v>107</v>
      </c>
    </row>
    <row r="25" spans="1:12">
      <c r="A25" s="41" t="s">
        <v>117</v>
      </c>
      <c r="B25" s="40">
        <f t="shared" si="1"/>
        <v>24</v>
      </c>
      <c r="C25" s="40" t="str">
        <f t="shared" si="0"/>
        <v>H24</v>
      </c>
      <c r="D25" s="41" t="s">
        <v>24</v>
      </c>
      <c r="E25" s="41">
        <v>39</v>
      </c>
      <c r="F25" s="41" t="s">
        <v>26</v>
      </c>
      <c r="G25" s="41" t="s">
        <v>358</v>
      </c>
      <c r="H25" s="41" t="s">
        <v>619</v>
      </c>
      <c r="I25" s="41" t="s">
        <v>88</v>
      </c>
      <c r="J25" s="41" t="s">
        <v>618</v>
      </c>
      <c r="K25" s="41" t="s">
        <v>29</v>
      </c>
      <c r="L25" s="41" t="s">
        <v>126</v>
      </c>
    </row>
    <row r="26" spans="1:12">
      <c r="A26" s="41" t="s">
        <v>117</v>
      </c>
      <c r="B26" s="40">
        <f t="shared" si="1"/>
        <v>25</v>
      </c>
      <c r="C26" s="40" t="str">
        <f t="shared" si="0"/>
        <v>H25</v>
      </c>
      <c r="D26" s="41" t="s">
        <v>39</v>
      </c>
      <c r="E26" s="41">
        <v>43</v>
      </c>
      <c r="F26" s="41" t="s">
        <v>26</v>
      </c>
      <c r="G26" s="41" t="s">
        <v>84</v>
      </c>
      <c r="H26" s="41" t="s">
        <v>616</v>
      </c>
      <c r="I26" s="41" t="s">
        <v>84</v>
      </c>
      <c r="J26" s="41" t="s">
        <v>616</v>
      </c>
      <c r="K26" s="41" t="s">
        <v>29</v>
      </c>
      <c r="L26" s="41" t="s">
        <v>107</v>
      </c>
    </row>
    <row r="27" spans="1:12">
      <c r="A27" s="41" t="s">
        <v>129</v>
      </c>
      <c r="B27" s="40">
        <f t="shared" si="1"/>
        <v>26</v>
      </c>
      <c r="C27" s="40" t="str">
        <f t="shared" si="0"/>
        <v>I26</v>
      </c>
      <c r="D27" s="41" t="s">
        <v>24</v>
      </c>
      <c r="E27" s="41">
        <v>45</v>
      </c>
      <c r="F27" s="41" t="s">
        <v>26</v>
      </c>
      <c r="G27" s="41" t="s">
        <v>84</v>
      </c>
      <c r="H27" s="41" t="s">
        <v>616</v>
      </c>
      <c r="I27" s="41" t="s">
        <v>132</v>
      </c>
      <c r="J27" s="41" t="s">
        <v>634</v>
      </c>
      <c r="K27" s="41" t="s">
        <v>85</v>
      </c>
      <c r="L27" s="41" t="s">
        <v>107</v>
      </c>
    </row>
    <row r="28" spans="1:12">
      <c r="A28" s="41" t="s">
        <v>129</v>
      </c>
      <c r="B28" s="40">
        <f t="shared" si="1"/>
        <v>27</v>
      </c>
      <c r="C28" s="40" t="str">
        <f t="shared" si="0"/>
        <v>I27</v>
      </c>
      <c r="D28" s="41" t="s">
        <v>39</v>
      </c>
      <c r="E28" s="41">
        <v>22</v>
      </c>
      <c r="F28" s="41" t="s">
        <v>44</v>
      </c>
      <c r="G28" s="41" t="s">
        <v>84</v>
      </c>
      <c r="H28" s="41" t="s">
        <v>616</v>
      </c>
      <c r="I28" s="41" t="s">
        <v>84</v>
      </c>
      <c r="J28" s="41" t="s">
        <v>616</v>
      </c>
      <c r="K28" s="41" t="s">
        <v>85</v>
      </c>
      <c r="L28" s="41" t="s">
        <v>53</v>
      </c>
    </row>
    <row r="29" spans="1:12">
      <c r="A29" s="41" t="s">
        <v>135</v>
      </c>
      <c r="B29" s="40">
        <f t="shared" si="1"/>
        <v>28</v>
      </c>
      <c r="C29" s="40" t="str">
        <f t="shared" si="0"/>
        <v>J28</v>
      </c>
      <c r="D29" s="41" t="s">
        <v>24</v>
      </c>
      <c r="E29" s="41">
        <v>45</v>
      </c>
      <c r="F29" s="41" t="s">
        <v>26</v>
      </c>
      <c r="G29" s="41" t="s">
        <v>88</v>
      </c>
      <c r="H29" s="41" t="s">
        <v>618</v>
      </c>
      <c r="I29" s="41" t="s">
        <v>138</v>
      </c>
      <c r="J29" s="41" t="s">
        <v>596</v>
      </c>
      <c r="K29" s="41" t="s">
        <v>139</v>
      </c>
      <c r="L29" s="41" t="s">
        <v>89</v>
      </c>
    </row>
    <row r="30" spans="1:12">
      <c r="A30" s="41" t="s">
        <v>135</v>
      </c>
      <c r="B30" s="40">
        <f t="shared" si="1"/>
        <v>29</v>
      </c>
      <c r="C30" s="40" t="str">
        <f t="shared" si="0"/>
        <v>J29</v>
      </c>
      <c r="D30" s="41" t="s">
        <v>39</v>
      </c>
      <c r="E30" s="41">
        <v>38</v>
      </c>
      <c r="F30" s="41" t="s">
        <v>26</v>
      </c>
      <c r="G30" s="41" t="s">
        <v>88</v>
      </c>
      <c r="H30" s="41" t="s">
        <v>618</v>
      </c>
      <c r="I30" s="41" t="s">
        <v>88</v>
      </c>
      <c r="J30" s="41" t="s">
        <v>618</v>
      </c>
      <c r="K30" s="41" t="s">
        <v>29</v>
      </c>
      <c r="L30" s="41" t="s">
        <v>30</v>
      </c>
    </row>
    <row r="31" spans="1:12">
      <c r="A31" s="41" t="s">
        <v>142</v>
      </c>
      <c r="B31" s="40">
        <f t="shared" si="1"/>
        <v>30</v>
      </c>
      <c r="C31" s="40" t="str">
        <f t="shared" si="0"/>
        <v>K30</v>
      </c>
      <c r="D31" s="41" t="s">
        <v>24</v>
      </c>
      <c r="E31" s="41">
        <v>24</v>
      </c>
      <c r="F31" s="41" t="s">
        <v>44</v>
      </c>
      <c r="G31" s="41" t="s">
        <v>88</v>
      </c>
      <c r="H31" s="41" t="s">
        <v>618</v>
      </c>
      <c r="I31" s="41" t="s">
        <v>88</v>
      </c>
      <c r="J31" s="41" t="s">
        <v>618</v>
      </c>
      <c r="K31" s="41" t="s">
        <v>85</v>
      </c>
      <c r="L31" s="41" t="s">
        <v>53</v>
      </c>
    </row>
    <row r="32" spans="1:12">
      <c r="A32" s="41" t="s">
        <v>142</v>
      </c>
      <c r="B32" s="40">
        <f t="shared" si="1"/>
        <v>31</v>
      </c>
      <c r="C32" s="40" t="str">
        <f t="shared" si="0"/>
        <v>K31</v>
      </c>
      <c r="D32" s="41" t="s">
        <v>24</v>
      </c>
      <c r="E32" s="41">
        <v>19</v>
      </c>
      <c r="F32" s="41" t="s">
        <v>44</v>
      </c>
      <c r="G32" s="41" t="s">
        <v>88</v>
      </c>
      <c r="H32" s="41" t="s">
        <v>618</v>
      </c>
      <c r="I32" s="41" t="s">
        <v>88</v>
      </c>
      <c r="J32" s="41" t="s">
        <v>618</v>
      </c>
      <c r="K32" s="41" t="s">
        <v>85</v>
      </c>
      <c r="L32" s="41" t="s">
        <v>53</v>
      </c>
    </row>
    <row r="33" spans="1:12">
      <c r="A33" s="42" t="s">
        <v>573</v>
      </c>
      <c r="B33" s="40">
        <f t="shared" si="1"/>
        <v>32</v>
      </c>
      <c r="C33" s="40" t="str">
        <f t="shared" si="0"/>
        <v>L32</v>
      </c>
      <c r="D33" s="42" t="s">
        <v>39</v>
      </c>
      <c r="E33" s="42">
        <v>20</v>
      </c>
      <c r="F33" s="42" t="s">
        <v>26</v>
      </c>
      <c r="G33" s="42" t="s">
        <v>159</v>
      </c>
      <c r="H33" s="42" t="s">
        <v>615</v>
      </c>
      <c r="I33" s="42" t="s">
        <v>56</v>
      </c>
      <c r="J33" s="42" t="s">
        <v>620</v>
      </c>
      <c r="K33" s="42" t="s">
        <v>161</v>
      </c>
      <c r="L33" s="42" t="s">
        <v>162</v>
      </c>
    </row>
    <row r="34" spans="1:12">
      <c r="A34" s="42" t="s">
        <v>573</v>
      </c>
      <c r="B34" s="40">
        <f t="shared" si="1"/>
        <v>33</v>
      </c>
      <c r="C34" s="40" t="str">
        <f t="shared" si="0"/>
        <v>L33</v>
      </c>
      <c r="D34" s="42" t="s">
        <v>24</v>
      </c>
      <c r="E34" s="42">
        <v>23</v>
      </c>
      <c r="F34" s="42" t="s">
        <v>26</v>
      </c>
      <c r="G34" s="42" t="s">
        <v>56</v>
      </c>
      <c r="H34" s="42" t="s">
        <v>620</v>
      </c>
      <c r="I34" s="42" t="s">
        <v>56</v>
      </c>
      <c r="J34" s="42" t="s">
        <v>620</v>
      </c>
      <c r="K34" s="42" t="s">
        <v>161</v>
      </c>
      <c r="L34" s="42" t="s">
        <v>165</v>
      </c>
    </row>
    <row r="35" spans="1:12">
      <c r="A35" s="42" t="s">
        <v>573</v>
      </c>
      <c r="B35" s="40">
        <f t="shared" si="1"/>
        <v>34</v>
      </c>
      <c r="C35" s="40" t="str">
        <f t="shared" si="0"/>
        <v>L34</v>
      </c>
      <c r="D35" s="42" t="s">
        <v>39</v>
      </c>
      <c r="E35" s="42">
        <v>7</v>
      </c>
      <c r="F35" s="42" t="s">
        <v>44</v>
      </c>
      <c r="G35" s="42" t="s">
        <v>56</v>
      </c>
      <c r="H35" s="42" t="s">
        <v>620</v>
      </c>
      <c r="I35" s="42" t="s">
        <v>159</v>
      </c>
      <c r="J35" s="42" t="s">
        <v>615</v>
      </c>
      <c r="K35" s="42" t="s">
        <v>161</v>
      </c>
      <c r="L35" s="42" t="s">
        <v>162</v>
      </c>
    </row>
    <row r="36" spans="1:12">
      <c r="A36" s="42" t="s">
        <v>573</v>
      </c>
      <c r="B36" s="40">
        <f t="shared" si="1"/>
        <v>35</v>
      </c>
      <c r="C36" s="40" t="str">
        <f t="shared" si="0"/>
        <v>L35</v>
      </c>
      <c r="D36" s="42" t="s">
        <v>39</v>
      </c>
      <c r="E36" s="42">
        <v>4</v>
      </c>
      <c r="F36" s="42" t="s">
        <v>44</v>
      </c>
      <c r="G36" s="42" t="s">
        <v>56</v>
      </c>
      <c r="H36" s="42" t="s">
        <v>620</v>
      </c>
      <c r="I36" s="42" t="s">
        <v>159</v>
      </c>
      <c r="J36" s="42" t="s">
        <v>615</v>
      </c>
      <c r="K36" s="42" t="s">
        <v>161</v>
      </c>
      <c r="L36" s="42" t="s">
        <v>167</v>
      </c>
    </row>
    <row r="37" spans="1:12">
      <c r="A37" s="42" t="s">
        <v>573</v>
      </c>
      <c r="B37" s="40">
        <f t="shared" si="1"/>
        <v>36</v>
      </c>
      <c r="C37" s="40" t="str">
        <f t="shared" si="0"/>
        <v>L36</v>
      </c>
      <c r="D37" s="42" t="s">
        <v>24</v>
      </c>
      <c r="E37" s="42">
        <v>2</v>
      </c>
      <c r="F37" s="42" t="s">
        <v>44</v>
      </c>
      <c r="G37" s="42" t="s">
        <v>56</v>
      </c>
      <c r="H37" s="42" t="s">
        <v>620</v>
      </c>
      <c r="I37" s="42" t="s">
        <v>159</v>
      </c>
      <c r="J37" s="42" t="s">
        <v>615</v>
      </c>
      <c r="K37" s="42" t="s">
        <v>161</v>
      </c>
      <c r="L37" s="42" t="s">
        <v>167</v>
      </c>
    </row>
    <row r="38" spans="1:12">
      <c r="A38" s="42" t="s">
        <v>574</v>
      </c>
      <c r="B38" s="40">
        <f t="shared" si="1"/>
        <v>37</v>
      </c>
      <c r="C38" s="40" t="str">
        <f t="shared" si="0"/>
        <v>M37</v>
      </c>
      <c r="D38" s="42" t="s">
        <v>39</v>
      </c>
      <c r="E38" s="42">
        <v>35</v>
      </c>
      <c r="F38" s="42" t="s">
        <v>26</v>
      </c>
      <c r="G38" s="42" t="s">
        <v>159</v>
      </c>
      <c r="H38" s="42" t="s">
        <v>615</v>
      </c>
      <c r="I38" s="42" t="s">
        <v>635</v>
      </c>
      <c r="J38" s="42" t="s">
        <v>636</v>
      </c>
      <c r="K38" s="42" t="s">
        <v>52</v>
      </c>
      <c r="L38" s="42" t="s">
        <v>172</v>
      </c>
    </row>
    <row r="39" spans="1:12">
      <c r="A39" s="42" t="s">
        <v>574</v>
      </c>
      <c r="B39" s="40">
        <f t="shared" si="1"/>
        <v>38</v>
      </c>
      <c r="C39" s="40" t="str">
        <f t="shared" si="0"/>
        <v>M38</v>
      </c>
      <c r="D39" s="42" t="s">
        <v>24</v>
      </c>
      <c r="E39" s="42">
        <v>31</v>
      </c>
      <c r="F39" s="42" t="s">
        <v>26</v>
      </c>
      <c r="G39" s="42" t="s">
        <v>159</v>
      </c>
      <c r="H39" s="42" t="s">
        <v>615</v>
      </c>
      <c r="I39" s="42" t="s">
        <v>635</v>
      </c>
      <c r="J39" s="42" t="s">
        <v>636</v>
      </c>
      <c r="K39" s="42" t="s">
        <v>52</v>
      </c>
      <c r="L39" s="42" t="s">
        <v>172</v>
      </c>
    </row>
    <row r="40" spans="1:12">
      <c r="A40" s="42" t="s">
        <v>574</v>
      </c>
      <c r="B40" s="40">
        <f t="shared" si="1"/>
        <v>39</v>
      </c>
      <c r="C40" s="40" t="str">
        <f t="shared" si="0"/>
        <v>M39</v>
      </c>
      <c r="D40" s="42" t="s">
        <v>24</v>
      </c>
      <c r="E40" s="42">
        <v>9</v>
      </c>
      <c r="F40" s="42" t="s">
        <v>44</v>
      </c>
      <c r="G40" s="42" t="s">
        <v>159</v>
      </c>
      <c r="H40" s="42" t="s">
        <v>615</v>
      </c>
      <c r="I40" s="42" t="s">
        <v>159</v>
      </c>
      <c r="J40" s="42" t="s">
        <v>615</v>
      </c>
      <c r="K40" s="42" t="s">
        <v>52</v>
      </c>
      <c r="L40" s="42" t="s">
        <v>162</v>
      </c>
    </row>
    <row r="41" spans="1:12">
      <c r="A41" s="42" t="s">
        <v>574</v>
      </c>
      <c r="B41" s="40">
        <f t="shared" si="1"/>
        <v>40</v>
      </c>
      <c r="C41" s="40" t="str">
        <f t="shared" si="0"/>
        <v>M40</v>
      </c>
      <c r="D41" s="42" t="s">
        <v>39</v>
      </c>
      <c r="E41" s="42">
        <v>7</v>
      </c>
      <c r="F41" s="42" t="s">
        <v>44</v>
      </c>
      <c r="G41" s="42" t="s">
        <v>159</v>
      </c>
      <c r="H41" s="42" t="s">
        <v>615</v>
      </c>
      <c r="I41" s="42" t="s">
        <v>159</v>
      </c>
      <c r="J41" s="42" t="s">
        <v>615</v>
      </c>
      <c r="K41" s="42" t="s">
        <v>52</v>
      </c>
      <c r="L41" s="42" t="s">
        <v>162</v>
      </c>
    </row>
    <row r="42" spans="1:12">
      <c r="A42" s="42" t="s">
        <v>575</v>
      </c>
      <c r="B42" s="40">
        <f t="shared" si="1"/>
        <v>41</v>
      </c>
      <c r="C42" s="40" t="str">
        <f t="shared" si="0"/>
        <v>N41</v>
      </c>
      <c r="D42" s="42" t="s">
        <v>24</v>
      </c>
      <c r="E42" s="42">
        <v>47</v>
      </c>
      <c r="F42" s="42" t="s">
        <v>26</v>
      </c>
      <c r="G42" s="42" t="s">
        <v>159</v>
      </c>
      <c r="H42" s="42" t="s">
        <v>615</v>
      </c>
      <c r="I42" s="42" t="s">
        <v>159</v>
      </c>
      <c r="J42" s="42" t="s">
        <v>615</v>
      </c>
      <c r="K42" s="42" t="s">
        <v>52</v>
      </c>
      <c r="L42" s="42" t="s">
        <v>178</v>
      </c>
    </row>
    <row r="43" spans="1:12">
      <c r="A43" s="42" t="s">
        <v>575</v>
      </c>
      <c r="B43" s="40">
        <f t="shared" si="1"/>
        <v>42</v>
      </c>
      <c r="C43" s="40" t="str">
        <f t="shared" si="0"/>
        <v>N42</v>
      </c>
      <c r="D43" s="42" t="s">
        <v>39</v>
      </c>
      <c r="E43" s="42">
        <v>50</v>
      </c>
      <c r="F43" s="42" t="s">
        <v>26</v>
      </c>
      <c r="G43" s="42" t="s">
        <v>159</v>
      </c>
      <c r="H43" s="42" t="s">
        <v>615</v>
      </c>
      <c r="I43" s="42" t="s">
        <v>159</v>
      </c>
      <c r="J43" s="42" t="s">
        <v>615</v>
      </c>
      <c r="K43" s="42" t="s">
        <v>52</v>
      </c>
      <c r="L43" s="42" t="s">
        <v>178</v>
      </c>
    </row>
    <row r="44" spans="1:12">
      <c r="A44" s="42" t="s">
        <v>575</v>
      </c>
      <c r="B44" s="40">
        <f t="shared" si="1"/>
        <v>43</v>
      </c>
      <c r="C44" s="40" t="str">
        <f t="shared" si="0"/>
        <v>N43</v>
      </c>
      <c r="D44" s="42" t="s">
        <v>39</v>
      </c>
      <c r="E44" s="42">
        <v>18</v>
      </c>
      <c r="F44" s="42" t="s">
        <v>44</v>
      </c>
      <c r="G44" s="42" t="s">
        <v>159</v>
      </c>
      <c r="H44" s="42" t="s">
        <v>615</v>
      </c>
      <c r="I44" s="42" t="s">
        <v>159</v>
      </c>
      <c r="J44" s="42" t="s">
        <v>615</v>
      </c>
      <c r="K44" s="42" t="s">
        <v>52</v>
      </c>
      <c r="L44" s="42" t="s">
        <v>183</v>
      </c>
    </row>
    <row r="45" spans="1:12">
      <c r="A45" s="42" t="s">
        <v>575</v>
      </c>
      <c r="B45" s="40">
        <f t="shared" si="1"/>
        <v>44</v>
      </c>
      <c r="C45" s="40" t="str">
        <f t="shared" si="0"/>
        <v>N44</v>
      </c>
      <c r="D45" s="42" t="s">
        <v>39</v>
      </c>
      <c r="E45" s="42">
        <v>14</v>
      </c>
      <c r="F45" s="42" t="s">
        <v>44</v>
      </c>
      <c r="G45" s="42" t="s">
        <v>159</v>
      </c>
      <c r="H45" s="42" t="s">
        <v>615</v>
      </c>
      <c r="I45" s="42" t="s">
        <v>159</v>
      </c>
      <c r="J45" s="42" t="s">
        <v>615</v>
      </c>
      <c r="K45" s="42" t="s">
        <v>52</v>
      </c>
      <c r="L45" s="42" t="s">
        <v>165</v>
      </c>
    </row>
    <row r="46" spans="1:12">
      <c r="A46" s="42" t="s">
        <v>576</v>
      </c>
      <c r="B46" s="40">
        <f t="shared" si="1"/>
        <v>45</v>
      </c>
      <c r="C46" s="40" t="str">
        <f t="shared" si="0"/>
        <v>O45</v>
      </c>
      <c r="D46" s="42" t="s">
        <v>39</v>
      </c>
      <c r="E46" s="42">
        <v>19</v>
      </c>
      <c r="F46" s="42" t="s">
        <v>44</v>
      </c>
      <c r="G46" s="42" t="s">
        <v>187</v>
      </c>
      <c r="H46" s="42" t="s">
        <v>618</v>
      </c>
      <c r="I46" s="42" t="s">
        <v>187</v>
      </c>
      <c r="J46" s="42" t="s">
        <v>618</v>
      </c>
      <c r="K46" s="42" t="s">
        <v>85</v>
      </c>
      <c r="L46" s="42" t="s">
        <v>172</v>
      </c>
    </row>
    <row r="47" spans="1:12">
      <c r="A47" s="42" t="s">
        <v>576</v>
      </c>
      <c r="B47" s="40">
        <f t="shared" si="1"/>
        <v>46</v>
      </c>
      <c r="C47" s="40" t="str">
        <f t="shared" si="0"/>
        <v>O46</v>
      </c>
      <c r="D47" s="42" t="s">
        <v>24</v>
      </c>
      <c r="E47" s="42">
        <v>44</v>
      </c>
      <c r="F47" s="42" t="s">
        <v>26</v>
      </c>
      <c r="G47" s="42" t="s">
        <v>187</v>
      </c>
      <c r="H47" s="42" t="s">
        <v>618</v>
      </c>
      <c r="I47" s="42" t="s">
        <v>187</v>
      </c>
      <c r="J47" s="42" t="s">
        <v>618</v>
      </c>
      <c r="K47" s="42" t="s">
        <v>85</v>
      </c>
      <c r="L47" s="42" t="s">
        <v>178</v>
      </c>
    </row>
    <row r="48" spans="1:12">
      <c r="A48" s="42" t="s">
        <v>576</v>
      </c>
      <c r="B48" s="40">
        <f t="shared" si="1"/>
        <v>47</v>
      </c>
      <c r="C48" s="40" t="str">
        <f t="shared" si="0"/>
        <v>O47</v>
      </c>
      <c r="D48" s="42" t="s">
        <v>39</v>
      </c>
      <c r="E48" s="42">
        <v>46</v>
      </c>
      <c r="F48" s="42" t="s">
        <v>26</v>
      </c>
      <c r="G48" s="42" t="s">
        <v>187</v>
      </c>
      <c r="H48" s="42" t="s">
        <v>618</v>
      </c>
      <c r="I48" s="42" t="s">
        <v>88</v>
      </c>
      <c r="J48" s="42" t="s">
        <v>618</v>
      </c>
      <c r="K48" s="42" t="s">
        <v>85</v>
      </c>
      <c r="L48" s="42" t="s">
        <v>178</v>
      </c>
    </row>
    <row r="49" spans="1:12">
      <c r="A49" s="42" t="s">
        <v>576</v>
      </c>
      <c r="B49" s="40">
        <f t="shared" si="1"/>
        <v>48</v>
      </c>
      <c r="C49" s="40" t="str">
        <f t="shared" si="0"/>
        <v>O48</v>
      </c>
      <c r="D49" s="42" t="s">
        <v>24</v>
      </c>
      <c r="E49" s="42">
        <v>14</v>
      </c>
      <c r="F49" s="42" t="s">
        <v>44</v>
      </c>
      <c r="G49" s="42" t="s">
        <v>187</v>
      </c>
      <c r="H49" s="42" t="s">
        <v>618</v>
      </c>
      <c r="I49" s="42" t="s">
        <v>187</v>
      </c>
      <c r="J49" s="42" t="s">
        <v>618</v>
      </c>
      <c r="K49" s="42" t="s">
        <v>85</v>
      </c>
      <c r="L49" s="42" t="s">
        <v>165</v>
      </c>
    </row>
    <row r="50" spans="1:12">
      <c r="A50" s="42" t="s">
        <v>577</v>
      </c>
      <c r="B50" s="40">
        <f t="shared" si="1"/>
        <v>49</v>
      </c>
      <c r="C50" s="40" t="str">
        <f t="shared" si="0"/>
        <v>P49</v>
      </c>
      <c r="D50" s="42" t="s">
        <v>39</v>
      </c>
      <c r="E50" s="42">
        <v>58</v>
      </c>
      <c r="F50" s="42" t="s">
        <v>26</v>
      </c>
      <c r="G50" s="42" t="s">
        <v>187</v>
      </c>
      <c r="H50" s="42" t="s">
        <v>618</v>
      </c>
      <c r="I50" s="42" t="s">
        <v>84</v>
      </c>
      <c r="J50" s="42" t="s">
        <v>616</v>
      </c>
      <c r="K50" s="42" t="s">
        <v>192</v>
      </c>
      <c r="L50" s="42" t="s">
        <v>172</v>
      </c>
    </row>
    <row r="51" spans="1:12">
      <c r="A51" s="42" t="s">
        <v>577</v>
      </c>
      <c r="B51" s="40">
        <f t="shared" si="1"/>
        <v>50</v>
      </c>
      <c r="C51" s="40" t="str">
        <f t="shared" si="0"/>
        <v>P50</v>
      </c>
      <c r="D51" s="42" t="s">
        <v>39</v>
      </c>
      <c r="E51" s="42">
        <v>54</v>
      </c>
      <c r="F51" s="42" t="s">
        <v>26</v>
      </c>
      <c r="G51" s="42" t="s">
        <v>187</v>
      </c>
      <c r="H51" s="42" t="s">
        <v>618</v>
      </c>
      <c r="I51" s="42" t="s">
        <v>195</v>
      </c>
      <c r="J51" s="42" t="s">
        <v>618</v>
      </c>
      <c r="K51" s="42" t="s">
        <v>192</v>
      </c>
      <c r="L51" s="42" t="s">
        <v>172</v>
      </c>
    </row>
    <row r="52" spans="1:12">
      <c r="A52" s="42" t="s">
        <v>577</v>
      </c>
      <c r="B52" s="40">
        <f t="shared" si="1"/>
        <v>51</v>
      </c>
      <c r="C52" s="40" t="str">
        <f t="shared" si="0"/>
        <v>P51</v>
      </c>
      <c r="D52" s="42" t="s">
        <v>24</v>
      </c>
      <c r="E52" s="42">
        <v>18</v>
      </c>
      <c r="F52" s="42" t="s">
        <v>44</v>
      </c>
      <c r="G52" s="42" t="s">
        <v>187</v>
      </c>
      <c r="H52" s="42" t="s">
        <v>618</v>
      </c>
      <c r="I52" s="42" t="s">
        <v>187</v>
      </c>
      <c r="J52" s="42" t="s">
        <v>618</v>
      </c>
      <c r="K52" s="42" t="s">
        <v>192</v>
      </c>
      <c r="L52" s="42" t="s">
        <v>183</v>
      </c>
    </row>
    <row r="53" spans="1:12">
      <c r="A53" s="42" t="s">
        <v>577</v>
      </c>
      <c r="B53" s="40">
        <f t="shared" si="1"/>
        <v>52</v>
      </c>
      <c r="C53" s="40" t="str">
        <f t="shared" si="0"/>
        <v>P52</v>
      </c>
      <c r="D53" s="42" t="s">
        <v>24</v>
      </c>
      <c r="E53" s="42">
        <v>15</v>
      </c>
      <c r="F53" s="42" t="s">
        <v>44</v>
      </c>
      <c r="G53" s="42" t="s">
        <v>187</v>
      </c>
      <c r="H53" s="42" t="s">
        <v>618</v>
      </c>
      <c r="I53" s="42" t="s">
        <v>187</v>
      </c>
      <c r="J53" s="42" t="s">
        <v>618</v>
      </c>
      <c r="K53" s="42" t="s">
        <v>192</v>
      </c>
      <c r="L53" s="42" t="s">
        <v>165</v>
      </c>
    </row>
    <row r="54" spans="1:12">
      <c r="A54" s="42" t="s">
        <v>578</v>
      </c>
      <c r="B54" s="40">
        <f t="shared" si="1"/>
        <v>53</v>
      </c>
      <c r="C54" s="40" t="str">
        <f t="shared" si="0"/>
        <v>Q53</v>
      </c>
      <c r="D54" s="42" t="s">
        <v>24</v>
      </c>
      <c r="E54" s="42">
        <v>30</v>
      </c>
      <c r="F54" s="42" t="s">
        <v>26</v>
      </c>
      <c r="G54" s="42" t="s">
        <v>187</v>
      </c>
      <c r="H54" s="42" t="s">
        <v>618</v>
      </c>
      <c r="I54" s="42" t="s">
        <v>187</v>
      </c>
      <c r="J54" s="42" t="s">
        <v>618</v>
      </c>
      <c r="K54" s="42" t="s">
        <v>85</v>
      </c>
      <c r="L54" s="42" t="s">
        <v>183</v>
      </c>
    </row>
    <row r="55" spans="1:12">
      <c r="A55" s="42" t="s">
        <v>578</v>
      </c>
      <c r="B55" s="40">
        <f t="shared" si="1"/>
        <v>54</v>
      </c>
      <c r="C55" s="40" t="str">
        <f t="shared" si="0"/>
        <v>Q54</v>
      </c>
      <c r="D55" s="42" t="s">
        <v>39</v>
      </c>
      <c r="E55" s="42">
        <v>34</v>
      </c>
      <c r="F55" s="42" t="s">
        <v>26</v>
      </c>
      <c r="G55" s="42" t="s">
        <v>187</v>
      </c>
      <c r="H55" s="42" t="s">
        <v>618</v>
      </c>
      <c r="I55" s="42" t="s">
        <v>200</v>
      </c>
      <c r="J55" s="42" t="s">
        <v>618</v>
      </c>
      <c r="K55" s="42" t="s">
        <v>85</v>
      </c>
      <c r="L55" s="42" t="s">
        <v>183</v>
      </c>
    </row>
    <row r="56" spans="1:12">
      <c r="A56" s="42" t="s">
        <v>578</v>
      </c>
      <c r="B56" s="40">
        <f t="shared" si="1"/>
        <v>55</v>
      </c>
      <c r="C56" s="40" t="str">
        <f t="shared" si="0"/>
        <v>Q55</v>
      </c>
      <c r="D56" s="42" t="s">
        <v>39</v>
      </c>
      <c r="E56" s="42">
        <v>7</v>
      </c>
      <c r="F56" s="42" t="s">
        <v>44</v>
      </c>
      <c r="G56" s="42" t="s">
        <v>187</v>
      </c>
      <c r="H56" s="42" t="s">
        <v>618</v>
      </c>
      <c r="I56" s="42" t="s">
        <v>187</v>
      </c>
      <c r="J56" s="42" t="s">
        <v>618</v>
      </c>
      <c r="K56" s="42" t="s">
        <v>85</v>
      </c>
      <c r="L56" s="42" t="s">
        <v>162</v>
      </c>
    </row>
    <row r="57" spans="1:12">
      <c r="A57" s="42" t="s">
        <v>579</v>
      </c>
      <c r="B57" s="40">
        <f t="shared" si="1"/>
        <v>56</v>
      </c>
      <c r="C57" s="40" t="str">
        <f t="shared" si="0"/>
        <v>R56</v>
      </c>
      <c r="D57" s="42" t="s">
        <v>39</v>
      </c>
      <c r="E57" s="42">
        <v>47</v>
      </c>
      <c r="F57" s="42" t="s">
        <v>26</v>
      </c>
      <c r="G57" s="42" t="s">
        <v>27</v>
      </c>
      <c r="H57" s="42" t="s">
        <v>614</v>
      </c>
      <c r="I57" s="42" t="s">
        <v>204</v>
      </c>
      <c r="J57" s="42" t="s">
        <v>622</v>
      </c>
      <c r="K57" s="42" t="s">
        <v>205</v>
      </c>
      <c r="L57" s="42" t="s">
        <v>178</v>
      </c>
    </row>
    <row r="58" spans="1:12">
      <c r="A58" s="42" t="s">
        <v>579</v>
      </c>
      <c r="B58" s="40">
        <f t="shared" si="1"/>
        <v>57</v>
      </c>
      <c r="C58" s="40" t="str">
        <f t="shared" si="0"/>
        <v>R57</v>
      </c>
      <c r="D58" s="42" t="s">
        <v>24</v>
      </c>
      <c r="E58" s="42">
        <v>45</v>
      </c>
      <c r="F58" s="42" t="s">
        <v>26</v>
      </c>
      <c r="G58" s="42" t="s">
        <v>27</v>
      </c>
      <c r="H58" s="42" t="s">
        <v>614</v>
      </c>
      <c r="I58" s="42" t="s">
        <v>637</v>
      </c>
      <c r="J58" s="42" t="s">
        <v>622</v>
      </c>
      <c r="K58" s="42" t="s">
        <v>205</v>
      </c>
      <c r="L58" s="42" t="s">
        <v>172</v>
      </c>
    </row>
    <row r="59" spans="1:12">
      <c r="A59" s="42" t="s">
        <v>579</v>
      </c>
      <c r="B59" s="40">
        <f t="shared" si="1"/>
        <v>58</v>
      </c>
      <c r="C59" s="40" t="str">
        <f t="shared" si="0"/>
        <v>R58</v>
      </c>
      <c r="D59" s="42" t="s">
        <v>24</v>
      </c>
      <c r="E59" s="42">
        <v>10</v>
      </c>
      <c r="F59" s="42" t="s">
        <v>210</v>
      </c>
      <c r="G59" s="42" t="s">
        <v>27</v>
      </c>
      <c r="H59" s="42" t="s">
        <v>614</v>
      </c>
      <c r="I59" s="42" t="s">
        <v>27</v>
      </c>
      <c r="J59" s="42" t="s">
        <v>614</v>
      </c>
      <c r="K59" s="42" t="s">
        <v>52</v>
      </c>
      <c r="L59" s="42" t="s">
        <v>162</v>
      </c>
    </row>
    <row r="60" spans="1:12">
      <c r="A60" s="42" t="s">
        <v>580</v>
      </c>
      <c r="B60" s="40">
        <f t="shared" si="1"/>
        <v>59</v>
      </c>
      <c r="C60" s="40" t="str">
        <f t="shared" si="0"/>
        <v>S59</v>
      </c>
      <c r="D60" s="42" t="s">
        <v>39</v>
      </c>
      <c r="E60" s="42">
        <v>78</v>
      </c>
      <c r="F60" s="42" t="s">
        <v>26</v>
      </c>
      <c r="G60" s="42" t="s">
        <v>621</v>
      </c>
      <c r="H60" s="42" t="s">
        <v>622</v>
      </c>
      <c r="I60" s="42" t="s">
        <v>204</v>
      </c>
      <c r="J60" s="42" t="s">
        <v>622</v>
      </c>
      <c r="K60" s="42" t="s">
        <v>205</v>
      </c>
      <c r="L60" s="42" t="s">
        <v>183</v>
      </c>
    </row>
    <row r="61" spans="1:12">
      <c r="A61" s="42" t="s">
        <v>580</v>
      </c>
      <c r="B61" s="40">
        <f t="shared" si="1"/>
        <v>60</v>
      </c>
      <c r="C61" s="40" t="str">
        <f t="shared" si="0"/>
        <v>S60</v>
      </c>
      <c r="D61" s="42" t="s">
        <v>24</v>
      </c>
      <c r="E61" s="42">
        <v>73</v>
      </c>
      <c r="F61" s="42" t="s">
        <v>26</v>
      </c>
      <c r="G61" s="42" t="s">
        <v>621</v>
      </c>
      <c r="H61" s="42" t="s">
        <v>622</v>
      </c>
      <c r="I61" s="42" t="s">
        <v>204</v>
      </c>
      <c r="J61" s="42" t="s">
        <v>622</v>
      </c>
      <c r="K61" s="42" t="s">
        <v>205</v>
      </c>
      <c r="L61" s="42" t="s">
        <v>165</v>
      </c>
    </row>
    <row r="62" spans="1:12">
      <c r="A62" s="42" t="s">
        <v>581</v>
      </c>
      <c r="B62" s="40">
        <f t="shared" si="1"/>
        <v>61</v>
      </c>
      <c r="C62" s="40" t="str">
        <f t="shared" si="0"/>
        <v>T61</v>
      </c>
      <c r="D62" s="42" t="s">
        <v>39</v>
      </c>
      <c r="E62" s="42">
        <v>48</v>
      </c>
      <c r="F62" s="42" t="s">
        <v>26</v>
      </c>
      <c r="G62" s="42" t="s">
        <v>215</v>
      </c>
      <c r="H62" s="42" t="s">
        <v>623</v>
      </c>
      <c r="I62" s="42" t="s">
        <v>208</v>
      </c>
      <c r="J62" s="42" t="s">
        <v>622</v>
      </c>
      <c r="K62" s="42" t="s">
        <v>104</v>
      </c>
      <c r="L62" s="42" t="s">
        <v>178</v>
      </c>
    </row>
    <row r="63" spans="1:12">
      <c r="A63" s="42" t="s">
        <v>581</v>
      </c>
      <c r="B63" s="40">
        <f t="shared" si="1"/>
        <v>62</v>
      </c>
      <c r="C63" s="40" t="str">
        <f t="shared" si="0"/>
        <v>T62</v>
      </c>
      <c r="D63" s="42" t="s">
        <v>24</v>
      </c>
      <c r="E63" s="42">
        <v>44</v>
      </c>
      <c r="F63" s="42" t="s">
        <v>26</v>
      </c>
      <c r="G63" s="42" t="s">
        <v>215</v>
      </c>
      <c r="H63" s="42" t="s">
        <v>623</v>
      </c>
      <c r="I63" s="42" t="s">
        <v>217</v>
      </c>
      <c r="J63" s="42" t="s">
        <v>622</v>
      </c>
      <c r="K63" s="42" t="s">
        <v>104</v>
      </c>
      <c r="L63" s="42" t="s">
        <v>172</v>
      </c>
    </row>
    <row r="64" spans="1:12">
      <c r="A64" s="42" t="s">
        <v>581</v>
      </c>
      <c r="B64" s="40">
        <f t="shared" si="1"/>
        <v>63</v>
      </c>
      <c r="C64" s="40" t="str">
        <f t="shared" si="0"/>
        <v>T63</v>
      </c>
      <c r="D64" s="41" t="s">
        <v>39</v>
      </c>
      <c r="E64" s="41">
        <v>27</v>
      </c>
      <c r="F64" s="41" t="s">
        <v>26</v>
      </c>
      <c r="G64" s="41" t="s">
        <v>624</v>
      </c>
      <c r="H64" s="41" t="s">
        <v>614</v>
      </c>
      <c r="I64" s="41" t="s">
        <v>624</v>
      </c>
      <c r="J64" s="41" t="s">
        <v>614</v>
      </c>
      <c r="K64" s="41" t="s">
        <v>231</v>
      </c>
      <c r="L64" s="41" t="s">
        <v>232</v>
      </c>
    </row>
    <row r="65" spans="1:12">
      <c r="A65" s="42" t="s">
        <v>581</v>
      </c>
      <c r="B65" s="40">
        <f t="shared" si="1"/>
        <v>64</v>
      </c>
      <c r="C65" s="40" t="str">
        <f t="shared" si="0"/>
        <v>T64</v>
      </c>
      <c r="D65" s="41" t="s">
        <v>24</v>
      </c>
      <c r="E65" s="41">
        <v>25</v>
      </c>
      <c r="F65" s="41" t="s">
        <v>235</v>
      </c>
      <c r="G65" s="41" t="s">
        <v>624</v>
      </c>
      <c r="H65" s="41" t="s">
        <v>614</v>
      </c>
      <c r="I65" s="41" t="s">
        <v>236</v>
      </c>
      <c r="J65" s="41" t="s">
        <v>614</v>
      </c>
      <c r="K65" s="41" t="s">
        <v>231</v>
      </c>
      <c r="L65" s="41" t="s">
        <v>232</v>
      </c>
    </row>
    <row r="66" spans="1:12">
      <c r="A66" s="42" t="s">
        <v>581</v>
      </c>
      <c r="B66" s="40">
        <f t="shared" si="1"/>
        <v>65</v>
      </c>
      <c r="C66" s="40" t="str">
        <f t="shared" si="0"/>
        <v>T65</v>
      </c>
      <c r="D66" s="41" t="s">
        <v>240</v>
      </c>
      <c r="E66" s="41">
        <v>1</v>
      </c>
      <c r="F66" s="41" t="s">
        <v>241</v>
      </c>
      <c r="G66" s="41" t="s">
        <v>624</v>
      </c>
      <c r="H66" s="41" t="s">
        <v>614</v>
      </c>
      <c r="I66" s="41" t="s">
        <v>624</v>
      </c>
      <c r="J66" s="41" t="s">
        <v>614</v>
      </c>
      <c r="K66" s="41" t="s">
        <v>231</v>
      </c>
      <c r="L66" s="41" t="s">
        <v>167</v>
      </c>
    </row>
    <row r="67" spans="1:12">
      <c r="A67" s="41" t="s">
        <v>582</v>
      </c>
      <c r="B67" s="40">
        <f t="shared" si="1"/>
        <v>66</v>
      </c>
      <c r="C67" s="40" t="str">
        <f t="shared" ref="C67:C130" si="2">CONCATENATE(A67,B67)</f>
        <v>U66</v>
      </c>
      <c r="D67" s="41" t="s">
        <v>39</v>
      </c>
      <c r="E67" s="41">
        <v>35</v>
      </c>
      <c r="F67" s="41" t="s">
        <v>235</v>
      </c>
      <c r="G67" s="41" t="s">
        <v>624</v>
      </c>
      <c r="H67" s="41" t="s">
        <v>614</v>
      </c>
      <c r="I67" s="41" t="s">
        <v>624</v>
      </c>
      <c r="J67" s="41" t="s">
        <v>614</v>
      </c>
      <c r="K67" s="41" t="s">
        <v>68</v>
      </c>
      <c r="L67" s="41" t="s">
        <v>245</v>
      </c>
    </row>
    <row r="68" spans="1:12">
      <c r="A68" s="41" t="s">
        <v>582</v>
      </c>
      <c r="B68" s="40">
        <f t="shared" ref="B68:B131" si="3">B67+1</f>
        <v>67</v>
      </c>
      <c r="C68" s="40" t="str">
        <f t="shared" si="2"/>
        <v>U67</v>
      </c>
      <c r="D68" s="41" t="s">
        <v>240</v>
      </c>
      <c r="E68" s="41">
        <v>33</v>
      </c>
      <c r="F68" s="41" t="s">
        <v>235</v>
      </c>
      <c r="G68" s="41" t="s">
        <v>624</v>
      </c>
      <c r="H68" s="41" t="s">
        <v>614</v>
      </c>
      <c r="I68" s="41" t="s">
        <v>236</v>
      </c>
      <c r="J68" s="41" t="s">
        <v>614</v>
      </c>
      <c r="K68" s="41" t="s">
        <v>231</v>
      </c>
      <c r="L68" s="41" t="s">
        <v>232</v>
      </c>
    </row>
    <row r="69" spans="1:12">
      <c r="A69" s="41" t="s">
        <v>582</v>
      </c>
      <c r="B69" s="40">
        <f t="shared" si="3"/>
        <v>68</v>
      </c>
      <c r="C69" s="40" t="str">
        <f t="shared" si="2"/>
        <v>U68</v>
      </c>
      <c r="D69" s="41" t="s">
        <v>39</v>
      </c>
      <c r="E69" s="41">
        <v>5</v>
      </c>
      <c r="F69" s="41" t="s">
        <v>241</v>
      </c>
      <c r="G69" s="41" t="s">
        <v>624</v>
      </c>
      <c r="H69" s="41" t="s">
        <v>614</v>
      </c>
      <c r="I69" s="41" t="s">
        <v>624</v>
      </c>
      <c r="J69" s="41" t="s">
        <v>614</v>
      </c>
      <c r="K69" s="41" t="s">
        <v>68</v>
      </c>
      <c r="L69" s="41" t="s">
        <v>251</v>
      </c>
    </row>
    <row r="70" spans="1:12">
      <c r="A70" s="41" t="s">
        <v>287</v>
      </c>
      <c r="B70" s="40">
        <f t="shared" si="3"/>
        <v>69</v>
      </c>
      <c r="C70" s="40" t="str">
        <f t="shared" si="2"/>
        <v>V69</v>
      </c>
      <c r="D70" s="41" t="s">
        <v>39</v>
      </c>
      <c r="E70" s="41">
        <v>57</v>
      </c>
      <c r="F70" s="41" t="s">
        <v>235</v>
      </c>
      <c r="G70" s="41" t="s">
        <v>27</v>
      </c>
      <c r="H70" s="41" t="s">
        <v>614</v>
      </c>
      <c r="I70" s="41" t="s">
        <v>256</v>
      </c>
      <c r="J70" s="41" t="s">
        <v>614</v>
      </c>
      <c r="K70" s="41" t="s">
        <v>231</v>
      </c>
      <c r="L70" s="41" t="s">
        <v>232</v>
      </c>
    </row>
    <row r="71" spans="1:12">
      <c r="A71" s="41" t="s">
        <v>287</v>
      </c>
      <c r="B71" s="40">
        <f t="shared" si="3"/>
        <v>70</v>
      </c>
      <c r="C71" s="40" t="str">
        <f t="shared" si="2"/>
        <v>V70</v>
      </c>
      <c r="D71" s="41" t="s">
        <v>24</v>
      </c>
      <c r="E71" s="41">
        <v>53</v>
      </c>
      <c r="F71" s="41" t="s">
        <v>235</v>
      </c>
      <c r="G71" s="41" t="s">
        <v>27</v>
      </c>
      <c r="H71" s="41" t="s">
        <v>614</v>
      </c>
      <c r="I71" s="41" t="s">
        <v>638</v>
      </c>
      <c r="J71" s="41" t="s">
        <v>626</v>
      </c>
      <c r="K71" s="41" t="s">
        <v>231</v>
      </c>
      <c r="L71" s="41" t="s">
        <v>232</v>
      </c>
    </row>
    <row r="72" spans="1:12">
      <c r="A72" s="41" t="s">
        <v>287</v>
      </c>
      <c r="B72" s="40">
        <f t="shared" si="3"/>
        <v>71</v>
      </c>
      <c r="C72" s="40" t="str">
        <f t="shared" si="2"/>
        <v>V71</v>
      </c>
      <c r="D72" s="41" t="s">
        <v>39</v>
      </c>
      <c r="E72" s="41">
        <v>26</v>
      </c>
      <c r="F72" s="41" t="s">
        <v>241</v>
      </c>
      <c r="G72" s="41" t="s">
        <v>262</v>
      </c>
      <c r="H72" s="41" t="s">
        <v>615</v>
      </c>
      <c r="I72" s="41" t="s">
        <v>639</v>
      </c>
      <c r="J72" s="41" t="s">
        <v>614</v>
      </c>
      <c r="K72" s="41" t="s">
        <v>231</v>
      </c>
      <c r="L72" s="41" t="s">
        <v>245</v>
      </c>
    </row>
    <row r="73" spans="1:12">
      <c r="A73" s="41" t="s">
        <v>287</v>
      </c>
      <c r="B73" s="40">
        <f t="shared" si="3"/>
        <v>72</v>
      </c>
      <c r="C73" s="40" t="str">
        <f t="shared" si="2"/>
        <v>V72</v>
      </c>
      <c r="D73" s="41" t="s">
        <v>240</v>
      </c>
      <c r="E73" s="41">
        <v>21</v>
      </c>
      <c r="F73" s="41" t="s">
        <v>241</v>
      </c>
      <c r="G73" s="41" t="s">
        <v>27</v>
      </c>
      <c r="H73" s="41" t="s">
        <v>614</v>
      </c>
      <c r="I73" s="41" t="s">
        <v>639</v>
      </c>
      <c r="J73" s="41" t="s">
        <v>614</v>
      </c>
      <c r="K73" s="41" t="s">
        <v>231</v>
      </c>
      <c r="L73" s="41" t="s">
        <v>232</v>
      </c>
    </row>
    <row r="74" spans="1:12">
      <c r="A74" s="41" t="s">
        <v>583</v>
      </c>
      <c r="B74" s="40">
        <f t="shared" si="3"/>
        <v>73</v>
      </c>
      <c r="C74" s="40" t="str">
        <f t="shared" si="2"/>
        <v>W73</v>
      </c>
      <c r="D74" s="41" t="s">
        <v>39</v>
      </c>
      <c r="E74" s="41">
        <v>63</v>
      </c>
      <c r="F74" s="41" t="s">
        <v>235</v>
      </c>
      <c r="G74" s="41" t="s">
        <v>624</v>
      </c>
      <c r="H74" s="41" t="s">
        <v>614</v>
      </c>
      <c r="I74" s="41" t="s">
        <v>256</v>
      </c>
      <c r="J74" s="41" t="s">
        <v>614</v>
      </c>
      <c r="K74" s="41" t="s">
        <v>231</v>
      </c>
      <c r="L74" s="41" t="s">
        <v>270</v>
      </c>
    </row>
    <row r="75" spans="1:12">
      <c r="A75" s="41" t="s">
        <v>583</v>
      </c>
      <c r="B75" s="40">
        <f t="shared" si="3"/>
        <v>74</v>
      </c>
      <c r="C75" s="40" t="str">
        <f t="shared" si="2"/>
        <v>W74</v>
      </c>
      <c r="D75" s="41" t="s">
        <v>240</v>
      </c>
      <c r="E75" s="41">
        <v>57</v>
      </c>
      <c r="F75" s="41" t="s">
        <v>235</v>
      </c>
      <c r="G75" s="41" t="s">
        <v>624</v>
      </c>
      <c r="H75" s="41" t="s">
        <v>614</v>
      </c>
      <c r="I75" s="41" t="s">
        <v>273</v>
      </c>
      <c r="J75" s="41" t="s">
        <v>614</v>
      </c>
      <c r="K75" s="41" t="s">
        <v>231</v>
      </c>
      <c r="L75" s="41" t="s">
        <v>274</v>
      </c>
    </row>
    <row r="76" spans="1:12">
      <c r="A76" s="41" t="s">
        <v>583</v>
      </c>
      <c r="B76" s="40">
        <f t="shared" si="3"/>
        <v>75</v>
      </c>
      <c r="C76" s="40" t="str">
        <f t="shared" si="2"/>
        <v>W75</v>
      </c>
      <c r="D76" s="41" t="s">
        <v>39</v>
      </c>
      <c r="E76" s="41">
        <v>34</v>
      </c>
      <c r="F76" s="41" t="s">
        <v>235</v>
      </c>
      <c r="G76" s="41" t="s">
        <v>277</v>
      </c>
      <c r="H76" s="41" t="s">
        <v>614</v>
      </c>
      <c r="I76" s="41" t="s">
        <v>624</v>
      </c>
      <c r="J76" s="41" t="s">
        <v>614</v>
      </c>
      <c r="K76" s="41" t="s">
        <v>68</v>
      </c>
      <c r="L76" s="41" t="s">
        <v>245</v>
      </c>
    </row>
    <row r="77" spans="1:12">
      <c r="A77" s="41" t="s">
        <v>583</v>
      </c>
      <c r="B77" s="40">
        <f t="shared" si="3"/>
        <v>76</v>
      </c>
      <c r="C77" s="40" t="str">
        <f t="shared" si="2"/>
        <v>W76</v>
      </c>
      <c r="D77" s="41" t="s">
        <v>24</v>
      </c>
      <c r="E77" s="41">
        <v>31</v>
      </c>
      <c r="F77" s="41" t="s">
        <v>235</v>
      </c>
      <c r="G77" s="41" t="s">
        <v>277</v>
      </c>
      <c r="H77" s="41" t="s">
        <v>614</v>
      </c>
      <c r="I77" s="41" t="s">
        <v>281</v>
      </c>
      <c r="J77" s="41" t="s">
        <v>614</v>
      </c>
      <c r="K77" s="41" t="s">
        <v>231</v>
      </c>
      <c r="L77" s="41" t="s">
        <v>232</v>
      </c>
    </row>
    <row r="78" spans="1:12">
      <c r="A78" s="41" t="s">
        <v>583</v>
      </c>
      <c r="B78" s="40">
        <f t="shared" si="3"/>
        <v>77</v>
      </c>
      <c r="C78" s="40" t="str">
        <f t="shared" si="2"/>
        <v>W77</v>
      </c>
      <c r="D78" s="41" t="s">
        <v>39</v>
      </c>
      <c r="E78" s="41">
        <v>5</v>
      </c>
      <c r="F78" s="41" t="s">
        <v>241</v>
      </c>
      <c r="G78" s="41" t="s">
        <v>284</v>
      </c>
      <c r="H78" s="41" t="s">
        <v>614</v>
      </c>
      <c r="I78" s="41" t="s">
        <v>277</v>
      </c>
      <c r="J78" s="41" t="s">
        <v>614</v>
      </c>
      <c r="K78" s="41" t="s">
        <v>231</v>
      </c>
      <c r="L78" s="41" t="s">
        <v>251</v>
      </c>
    </row>
    <row r="79" spans="1:12">
      <c r="A79" s="41" t="s">
        <v>583</v>
      </c>
      <c r="B79" s="40">
        <f t="shared" si="3"/>
        <v>78</v>
      </c>
      <c r="C79" s="40" t="str">
        <f t="shared" si="2"/>
        <v>W78</v>
      </c>
      <c r="D79" s="41" t="s">
        <v>24</v>
      </c>
      <c r="E79" s="41">
        <v>5</v>
      </c>
      <c r="F79" s="41" t="s">
        <v>241</v>
      </c>
      <c r="G79" s="41" t="s">
        <v>277</v>
      </c>
      <c r="H79" s="41" t="s">
        <v>614</v>
      </c>
      <c r="I79" s="41" t="s">
        <v>277</v>
      </c>
      <c r="J79" s="41" t="s">
        <v>614</v>
      </c>
      <c r="K79" s="41" t="s">
        <v>231</v>
      </c>
      <c r="L79" s="41" t="s">
        <v>251</v>
      </c>
    </row>
    <row r="80" spans="1:12">
      <c r="A80" s="41" t="s">
        <v>364</v>
      </c>
      <c r="B80" s="40">
        <f t="shared" si="3"/>
        <v>79</v>
      </c>
      <c r="C80" s="40" t="str">
        <f t="shared" si="2"/>
        <v>X79</v>
      </c>
      <c r="D80" s="41" t="s">
        <v>39</v>
      </c>
      <c r="E80" s="41">
        <v>44</v>
      </c>
      <c r="F80" s="41" t="s">
        <v>235</v>
      </c>
      <c r="G80" s="41" t="s">
        <v>291</v>
      </c>
      <c r="H80" s="41" t="s">
        <v>617</v>
      </c>
      <c r="I80" s="41" t="s">
        <v>292</v>
      </c>
      <c r="J80" s="41" t="s">
        <v>616</v>
      </c>
      <c r="K80" s="41" t="s">
        <v>293</v>
      </c>
      <c r="L80" s="41" t="s">
        <v>245</v>
      </c>
    </row>
    <row r="81" spans="1:12">
      <c r="A81" s="41" t="s">
        <v>364</v>
      </c>
      <c r="B81" s="40">
        <f t="shared" si="3"/>
        <v>80</v>
      </c>
      <c r="C81" s="40" t="str">
        <f t="shared" si="2"/>
        <v>X80</v>
      </c>
      <c r="D81" s="41" t="s">
        <v>24</v>
      </c>
      <c r="E81" s="41">
        <v>46</v>
      </c>
      <c r="F81" s="41" t="s">
        <v>235</v>
      </c>
      <c r="G81" s="41" t="s">
        <v>291</v>
      </c>
      <c r="H81" s="41" t="s">
        <v>617</v>
      </c>
      <c r="I81" s="41" t="s">
        <v>296</v>
      </c>
      <c r="J81" s="41" t="s">
        <v>632</v>
      </c>
      <c r="K81" s="41" t="s">
        <v>297</v>
      </c>
      <c r="L81" s="41" t="s">
        <v>245</v>
      </c>
    </row>
    <row r="82" spans="1:12">
      <c r="A82" s="41" t="s">
        <v>364</v>
      </c>
      <c r="B82" s="40">
        <f t="shared" si="3"/>
        <v>81</v>
      </c>
      <c r="C82" s="40" t="str">
        <f t="shared" si="2"/>
        <v>X81</v>
      </c>
      <c r="D82" s="41" t="s">
        <v>39</v>
      </c>
      <c r="E82" s="41">
        <v>9</v>
      </c>
      <c r="F82" s="41" t="s">
        <v>241</v>
      </c>
      <c r="G82" s="41" t="s">
        <v>291</v>
      </c>
      <c r="H82" s="41" t="s">
        <v>617</v>
      </c>
      <c r="I82" s="41" t="s">
        <v>291</v>
      </c>
      <c r="J82" s="41" t="s">
        <v>617</v>
      </c>
      <c r="K82" s="41" t="s">
        <v>300</v>
      </c>
      <c r="L82" s="41" t="s">
        <v>251</v>
      </c>
    </row>
    <row r="83" spans="1:12">
      <c r="A83" s="41" t="s">
        <v>364</v>
      </c>
      <c r="B83" s="40">
        <f t="shared" si="3"/>
        <v>82</v>
      </c>
      <c r="C83" s="40" t="str">
        <f t="shared" si="2"/>
        <v>X82</v>
      </c>
      <c r="D83" s="41" t="s">
        <v>24</v>
      </c>
      <c r="E83" s="41">
        <v>72</v>
      </c>
      <c r="F83" s="41" t="s">
        <v>303</v>
      </c>
      <c r="G83" s="41" t="s">
        <v>291</v>
      </c>
      <c r="H83" s="41" t="s">
        <v>617</v>
      </c>
      <c r="I83" s="41" t="s">
        <v>304</v>
      </c>
      <c r="J83" s="41" t="s">
        <v>616</v>
      </c>
      <c r="K83" s="41" t="s">
        <v>293</v>
      </c>
      <c r="L83" s="41" t="s">
        <v>274</v>
      </c>
    </row>
    <row r="84" spans="1:12">
      <c r="A84" s="41" t="s">
        <v>584</v>
      </c>
      <c r="B84" s="40">
        <f t="shared" si="3"/>
        <v>83</v>
      </c>
      <c r="C84" s="40" t="str">
        <f t="shared" si="2"/>
        <v>Y83</v>
      </c>
      <c r="D84" s="41" t="s">
        <v>39</v>
      </c>
      <c r="E84" s="41">
        <v>51</v>
      </c>
      <c r="F84" s="41" t="s">
        <v>235</v>
      </c>
      <c r="G84" s="41" t="s">
        <v>309</v>
      </c>
      <c r="H84" s="41" t="s">
        <v>616</v>
      </c>
      <c r="I84" s="41" t="s">
        <v>310</v>
      </c>
      <c r="J84" s="41" t="s">
        <v>626</v>
      </c>
      <c r="K84" s="41" t="s">
        <v>311</v>
      </c>
      <c r="L84" s="41" t="s">
        <v>232</v>
      </c>
    </row>
    <row r="85" spans="1:12">
      <c r="A85" s="41" t="s">
        <v>584</v>
      </c>
      <c r="B85" s="40">
        <f t="shared" si="3"/>
        <v>84</v>
      </c>
      <c r="C85" s="40" t="str">
        <f t="shared" si="2"/>
        <v>Y84</v>
      </c>
      <c r="D85" s="41" t="s">
        <v>240</v>
      </c>
      <c r="E85" s="41">
        <v>51</v>
      </c>
      <c r="F85" s="41" t="s">
        <v>235</v>
      </c>
      <c r="G85" s="41" t="s">
        <v>309</v>
      </c>
      <c r="H85" s="41" t="s">
        <v>616</v>
      </c>
      <c r="I85" s="41" t="s">
        <v>314</v>
      </c>
      <c r="J85" s="41" t="s">
        <v>619</v>
      </c>
      <c r="K85" s="41" t="s">
        <v>85</v>
      </c>
      <c r="L85" s="41" t="s">
        <v>232</v>
      </c>
    </row>
    <row r="86" spans="1:12">
      <c r="A86" s="41" t="s">
        <v>584</v>
      </c>
      <c r="B86" s="40">
        <f t="shared" si="3"/>
        <v>85</v>
      </c>
      <c r="C86" s="40" t="str">
        <f t="shared" si="2"/>
        <v>Y85</v>
      </c>
      <c r="D86" s="41" t="s">
        <v>240</v>
      </c>
      <c r="E86" s="41">
        <v>24</v>
      </c>
      <c r="F86" s="41" t="s">
        <v>241</v>
      </c>
      <c r="G86" s="41" t="s">
        <v>317</v>
      </c>
      <c r="H86" s="41" t="s">
        <v>625</v>
      </c>
      <c r="I86" s="41" t="s">
        <v>309</v>
      </c>
      <c r="J86" s="41" t="s">
        <v>616</v>
      </c>
      <c r="K86" s="41" t="s">
        <v>52</v>
      </c>
      <c r="L86" s="41" t="s">
        <v>245</v>
      </c>
    </row>
    <row r="87" spans="1:12">
      <c r="A87" s="41" t="s">
        <v>584</v>
      </c>
      <c r="B87" s="40">
        <f t="shared" si="3"/>
        <v>86</v>
      </c>
      <c r="C87" s="40" t="str">
        <f t="shared" si="2"/>
        <v>Y86</v>
      </c>
      <c r="D87" s="41" t="s">
        <v>240</v>
      </c>
      <c r="E87" s="41">
        <v>21</v>
      </c>
      <c r="F87" s="41" t="s">
        <v>241</v>
      </c>
      <c r="G87" s="41" t="s">
        <v>320</v>
      </c>
      <c r="H87" s="41" t="s">
        <v>614</v>
      </c>
      <c r="I87" s="41" t="s">
        <v>309</v>
      </c>
      <c r="J87" s="41" t="s">
        <v>616</v>
      </c>
      <c r="K87" s="41" t="s">
        <v>52</v>
      </c>
      <c r="L87" s="41" t="s">
        <v>232</v>
      </c>
    </row>
    <row r="88" spans="1:12">
      <c r="A88" s="41" t="s">
        <v>584</v>
      </c>
      <c r="B88" s="40">
        <f t="shared" si="3"/>
        <v>87</v>
      </c>
      <c r="C88" s="40" t="str">
        <f t="shared" si="2"/>
        <v>Y87</v>
      </c>
      <c r="D88" s="41" t="s">
        <v>240</v>
      </c>
      <c r="E88" s="41">
        <v>78</v>
      </c>
      <c r="F88" s="41" t="s">
        <v>323</v>
      </c>
      <c r="G88" s="41" t="s">
        <v>309</v>
      </c>
      <c r="H88" s="41" t="s">
        <v>616</v>
      </c>
      <c r="I88" s="41" t="s">
        <v>324</v>
      </c>
      <c r="J88" s="41" t="s">
        <v>640</v>
      </c>
      <c r="K88" s="41" t="s">
        <v>297</v>
      </c>
      <c r="L88" s="41" t="s">
        <v>232</v>
      </c>
    </row>
    <row r="89" spans="1:12">
      <c r="A89" s="41" t="s">
        <v>585</v>
      </c>
      <c r="B89" s="40">
        <f t="shared" si="3"/>
        <v>88</v>
      </c>
      <c r="C89" s="40" t="str">
        <f t="shared" si="2"/>
        <v>Z88</v>
      </c>
      <c r="D89" s="41" t="s">
        <v>39</v>
      </c>
      <c r="E89" s="41">
        <v>62</v>
      </c>
      <c r="F89" s="41" t="s">
        <v>235</v>
      </c>
      <c r="G89" s="41" t="s">
        <v>329</v>
      </c>
      <c r="H89" s="41" t="s">
        <v>619</v>
      </c>
      <c r="I89" s="41" t="s">
        <v>641</v>
      </c>
      <c r="J89" s="41" t="s">
        <v>619</v>
      </c>
      <c r="K89" s="41" t="s">
        <v>331</v>
      </c>
      <c r="L89" s="41" t="s">
        <v>270</v>
      </c>
    </row>
    <row r="90" spans="1:12">
      <c r="A90" s="41" t="s">
        <v>585</v>
      </c>
      <c r="B90" s="40">
        <f t="shared" si="3"/>
        <v>89</v>
      </c>
      <c r="C90" s="40" t="str">
        <f t="shared" si="2"/>
        <v>Z89</v>
      </c>
      <c r="D90" s="41" t="s">
        <v>24</v>
      </c>
      <c r="E90" s="41">
        <v>59</v>
      </c>
      <c r="F90" s="41" t="s">
        <v>235</v>
      </c>
      <c r="G90" s="41" t="s">
        <v>334</v>
      </c>
      <c r="H90" s="41" t="s">
        <v>619</v>
      </c>
      <c r="I90" s="41" t="s">
        <v>608</v>
      </c>
      <c r="J90" s="41" t="s">
        <v>619</v>
      </c>
      <c r="K90" s="41" t="s">
        <v>336</v>
      </c>
      <c r="L90" s="41" t="s">
        <v>251</v>
      </c>
    </row>
    <row r="91" spans="1:12">
      <c r="A91" s="41" t="s">
        <v>585</v>
      </c>
      <c r="B91" s="40">
        <f t="shared" si="3"/>
        <v>90</v>
      </c>
      <c r="C91" s="40" t="str">
        <f t="shared" si="2"/>
        <v>Z90</v>
      </c>
      <c r="D91" s="41" t="s">
        <v>39</v>
      </c>
      <c r="E91" s="41">
        <v>35</v>
      </c>
      <c r="F91" s="41" t="s">
        <v>235</v>
      </c>
      <c r="G91" s="41" t="s">
        <v>215</v>
      </c>
      <c r="H91" s="41" t="s">
        <v>623</v>
      </c>
      <c r="I91" s="41" t="s">
        <v>334</v>
      </c>
      <c r="J91" s="41" t="s">
        <v>619</v>
      </c>
      <c r="K91" s="41" t="s">
        <v>336</v>
      </c>
      <c r="L91" s="41" t="s">
        <v>245</v>
      </c>
    </row>
    <row r="92" spans="1:12">
      <c r="A92" s="41" t="s">
        <v>585</v>
      </c>
      <c r="B92" s="40">
        <f t="shared" si="3"/>
        <v>91</v>
      </c>
      <c r="C92" s="40" t="str">
        <f t="shared" si="2"/>
        <v>Z91</v>
      </c>
      <c r="D92" s="41" t="s">
        <v>24</v>
      </c>
      <c r="E92" s="41">
        <v>33</v>
      </c>
      <c r="F92" s="41" t="s">
        <v>235</v>
      </c>
      <c r="G92" s="41" t="s">
        <v>334</v>
      </c>
      <c r="H92" s="41" t="s">
        <v>619</v>
      </c>
      <c r="I92" s="41" t="s">
        <v>642</v>
      </c>
      <c r="J92" s="41" t="s">
        <v>619</v>
      </c>
      <c r="K92" s="41" t="s">
        <v>336</v>
      </c>
      <c r="L92" s="41" t="s">
        <v>232</v>
      </c>
    </row>
    <row r="93" spans="1:12">
      <c r="A93" s="41" t="s">
        <v>585</v>
      </c>
      <c r="B93" s="40">
        <f t="shared" si="3"/>
        <v>92</v>
      </c>
      <c r="C93" s="40" t="str">
        <f t="shared" si="2"/>
        <v>Z92</v>
      </c>
      <c r="D93" s="41" t="s">
        <v>39</v>
      </c>
      <c r="E93" s="41">
        <v>6</v>
      </c>
      <c r="F93" s="41" t="s">
        <v>241</v>
      </c>
      <c r="G93" s="41" t="s">
        <v>334</v>
      </c>
      <c r="H93" s="41" t="s">
        <v>619</v>
      </c>
      <c r="I93" s="41" t="s">
        <v>329</v>
      </c>
      <c r="J93" s="41" t="s">
        <v>619</v>
      </c>
      <c r="K93" s="41" t="s">
        <v>336</v>
      </c>
      <c r="L93" s="41" t="s">
        <v>251</v>
      </c>
    </row>
    <row r="94" spans="1:12">
      <c r="A94" s="41" t="s">
        <v>586</v>
      </c>
      <c r="B94" s="40">
        <f t="shared" si="3"/>
        <v>93</v>
      </c>
      <c r="C94" s="40" t="str">
        <f t="shared" si="2"/>
        <v>AA93</v>
      </c>
      <c r="D94" s="41" t="s">
        <v>39</v>
      </c>
      <c r="E94" s="41">
        <v>42</v>
      </c>
      <c r="F94" s="41" t="s">
        <v>26</v>
      </c>
      <c r="G94" s="41" t="s">
        <v>347</v>
      </c>
      <c r="H94" s="41" t="s">
        <v>626</v>
      </c>
      <c r="I94" s="41" t="s">
        <v>348</v>
      </c>
      <c r="J94" s="41" t="s">
        <v>565</v>
      </c>
      <c r="K94" s="41" t="s">
        <v>52</v>
      </c>
      <c r="L94" s="41" t="s">
        <v>245</v>
      </c>
    </row>
    <row r="95" spans="1:12">
      <c r="A95" s="41" t="s">
        <v>586</v>
      </c>
      <c r="B95" s="40">
        <f t="shared" si="3"/>
        <v>94</v>
      </c>
      <c r="C95" s="40" t="str">
        <f t="shared" si="2"/>
        <v>AA94</v>
      </c>
      <c r="D95" s="41" t="s">
        <v>24</v>
      </c>
      <c r="E95" s="41">
        <v>41</v>
      </c>
      <c r="F95" s="41" t="s">
        <v>26</v>
      </c>
      <c r="G95" s="41" t="s">
        <v>347</v>
      </c>
      <c r="H95" s="41" t="s">
        <v>626</v>
      </c>
      <c r="I95" s="41" t="s">
        <v>351</v>
      </c>
      <c r="J95" s="41" t="s">
        <v>643</v>
      </c>
      <c r="K95" s="41" t="s">
        <v>52</v>
      </c>
      <c r="L95" s="41" t="s">
        <v>245</v>
      </c>
    </row>
    <row r="96" spans="1:12">
      <c r="A96" s="41" t="s">
        <v>586</v>
      </c>
      <c r="B96" s="40">
        <f t="shared" si="3"/>
        <v>95</v>
      </c>
      <c r="C96" s="40" t="str">
        <f t="shared" si="2"/>
        <v>AA95</v>
      </c>
      <c r="D96" s="41" t="s">
        <v>24</v>
      </c>
      <c r="E96" s="41">
        <v>12</v>
      </c>
      <c r="F96" s="41" t="s">
        <v>44</v>
      </c>
      <c r="G96" s="41" t="s">
        <v>347</v>
      </c>
      <c r="H96" s="41" t="s">
        <v>626</v>
      </c>
      <c r="I96" s="41" t="s">
        <v>347</v>
      </c>
      <c r="J96" s="41" t="s">
        <v>626</v>
      </c>
      <c r="K96" s="41" t="s">
        <v>52</v>
      </c>
      <c r="L96" s="41" t="s">
        <v>251</v>
      </c>
    </row>
    <row r="97" spans="1:12">
      <c r="A97" s="41" t="s">
        <v>587</v>
      </c>
      <c r="B97" s="40">
        <f t="shared" si="3"/>
        <v>96</v>
      </c>
      <c r="C97" s="40" t="str">
        <f t="shared" si="2"/>
        <v>AB96</v>
      </c>
      <c r="D97" s="41" t="s">
        <v>39</v>
      </c>
      <c r="E97" s="41">
        <v>53</v>
      </c>
      <c r="F97" s="41" t="s">
        <v>26</v>
      </c>
      <c r="G97" s="41" t="s">
        <v>357</v>
      </c>
      <c r="H97" s="41" t="s">
        <v>616</v>
      </c>
      <c r="I97" s="41" t="s">
        <v>358</v>
      </c>
      <c r="J97" s="41" t="s">
        <v>619</v>
      </c>
      <c r="K97" s="41" t="s">
        <v>29</v>
      </c>
      <c r="L97" s="41" t="s">
        <v>232</v>
      </c>
    </row>
    <row r="98" spans="1:12">
      <c r="A98" s="41" t="s">
        <v>587</v>
      </c>
      <c r="B98" s="40">
        <f t="shared" si="3"/>
        <v>97</v>
      </c>
      <c r="C98" s="40" t="str">
        <f t="shared" si="2"/>
        <v>AB97</v>
      </c>
      <c r="D98" s="41" t="s">
        <v>24</v>
      </c>
      <c r="E98" s="41">
        <v>46</v>
      </c>
      <c r="F98" s="41" t="s">
        <v>26</v>
      </c>
      <c r="G98" s="41" t="s">
        <v>357</v>
      </c>
      <c r="H98" s="41" t="s">
        <v>616</v>
      </c>
      <c r="I98" s="41" t="s">
        <v>361</v>
      </c>
      <c r="J98" s="41" t="s">
        <v>619</v>
      </c>
      <c r="K98" s="41" t="s">
        <v>29</v>
      </c>
      <c r="L98" s="41" t="s">
        <v>232</v>
      </c>
    </row>
    <row r="99" spans="1:12">
      <c r="A99" s="41" t="s">
        <v>587</v>
      </c>
      <c r="B99" s="40">
        <f t="shared" si="3"/>
        <v>98</v>
      </c>
      <c r="C99" s="40" t="str">
        <f t="shared" si="2"/>
        <v>AB98</v>
      </c>
      <c r="D99" s="41" t="s">
        <v>24</v>
      </c>
      <c r="E99" s="41">
        <v>21</v>
      </c>
      <c r="F99" s="41" t="s">
        <v>44</v>
      </c>
      <c r="G99" s="41" t="s">
        <v>309</v>
      </c>
      <c r="H99" s="41" t="s">
        <v>616</v>
      </c>
      <c r="I99" s="41" t="s">
        <v>361</v>
      </c>
      <c r="J99" s="41" t="s">
        <v>619</v>
      </c>
      <c r="K99" s="41" t="s">
        <v>29</v>
      </c>
      <c r="L99" s="41" t="s">
        <v>270</v>
      </c>
    </row>
    <row r="100" spans="1:12">
      <c r="A100" s="41" t="s">
        <v>588</v>
      </c>
      <c r="B100" s="40">
        <f t="shared" si="3"/>
        <v>99</v>
      </c>
      <c r="C100" s="40" t="str">
        <f t="shared" si="2"/>
        <v>AC99</v>
      </c>
      <c r="D100" s="41" t="s">
        <v>39</v>
      </c>
      <c r="E100" s="41">
        <v>30</v>
      </c>
      <c r="F100" s="41" t="s">
        <v>26</v>
      </c>
      <c r="G100" s="41" t="s">
        <v>367</v>
      </c>
      <c r="H100" s="41" t="s">
        <v>614</v>
      </c>
      <c r="I100" s="41" t="s">
        <v>367</v>
      </c>
      <c r="J100" s="41" t="s">
        <v>614</v>
      </c>
      <c r="K100" s="41" t="s">
        <v>68</v>
      </c>
      <c r="L100" s="41" t="s">
        <v>270</v>
      </c>
    </row>
    <row r="101" spans="1:12">
      <c r="A101" s="41" t="s">
        <v>588</v>
      </c>
      <c r="B101" s="40">
        <f t="shared" si="3"/>
        <v>100</v>
      </c>
      <c r="C101" s="40" t="str">
        <f t="shared" si="2"/>
        <v>AC100</v>
      </c>
      <c r="D101" s="41" t="s">
        <v>24</v>
      </c>
      <c r="E101" s="41">
        <v>27</v>
      </c>
      <c r="F101" s="41" t="s">
        <v>26</v>
      </c>
      <c r="G101" s="41" t="s">
        <v>367</v>
      </c>
      <c r="H101" s="41" t="s">
        <v>614</v>
      </c>
      <c r="I101" s="41" t="s">
        <v>371</v>
      </c>
      <c r="J101" s="41" t="s">
        <v>614</v>
      </c>
      <c r="K101" s="41" t="s">
        <v>68</v>
      </c>
      <c r="L101" s="41" t="s">
        <v>270</v>
      </c>
    </row>
    <row r="102" spans="1:12">
      <c r="A102" s="41" t="s">
        <v>588</v>
      </c>
      <c r="B102" s="40">
        <f t="shared" si="3"/>
        <v>101</v>
      </c>
      <c r="C102" s="40" t="str">
        <f t="shared" si="2"/>
        <v>AC101</v>
      </c>
      <c r="D102" s="41" t="s">
        <v>39</v>
      </c>
      <c r="E102" s="41">
        <v>5</v>
      </c>
      <c r="F102" s="41" t="s">
        <v>44</v>
      </c>
      <c r="G102" s="41" t="s">
        <v>367</v>
      </c>
      <c r="H102" s="41" t="s">
        <v>614</v>
      </c>
      <c r="I102" s="41" t="s">
        <v>367</v>
      </c>
      <c r="J102" s="41" t="s">
        <v>614</v>
      </c>
      <c r="K102" s="41" t="s">
        <v>68</v>
      </c>
      <c r="L102" s="41" t="s">
        <v>251</v>
      </c>
    </row>
    <row r="103" spans="1:12">
      <c r="A103" s="41" t="s">
        <v>588</v>
      </c>
      <c r="B103" s="40">
        <f t="shared" si="3"/>
        <v>102</v>
      </c>
      <c r="C103" s="40" t="str">
        <f t="shared" si="2"/>
        <v>AC102</v>
      </c>
      <c r="D103" s="41" t="s">
        <v>24</v>
      </c>
      <c r="E103" s="41">
        <v>1</v>
      </c>
      <c r="F103" s="41" t="s">
        <v>44</v>
      </c>
      <c r="G103" s="41" t="s">
        <v>367</v>
      </c>
      <c r="H103" s="41" t="s">
        <v>614</v>
      </c>
      <c r="I103" s="41" t="s">
        <v>371</v>
      </c>
      <c r="J103" s="41" t="s">
        <v>614</v>
      </c>
      <c r="K103" s="41" t="s">
        <v>68</v>
      </c>
      <c r="L103" s="41" t="s">
        <v>376</v>
      </c>
    </row>
    <row r="104" spans="1:12">
      <c r="A104" s="41" t="s">
        <v>589</v>
      </c>
      <c r="B104" s="40">
        <f t="shared" si="3"/>
        <v>103</v>
      </c>
      <c r="C104" s="40" t="str">
        <f t="shared" si="2"/>
        <v>AD103</v>
      </c>
      <c r="D104" s="41" t="s">
        <v>24</v>
      </c>
      <c r="E104" s="41">
        <v>19</v>
      </c>
      <c r="F104" s="41" t="s">
        <v>44</v>
      </c>
      <c r="G104" s="41" t="s">
        <v>277</v>
      </c>
      <c r="H104" s="41" t="s">
        <v>607</v>
      </c>
      <c r="I104" s="41" t="s">
        <v>27</v>
      </c>
      <c r="J104" s="41" t="s">
        <v>607</v>
      </c>
      <c r="K104" s="41" t="s">
        <v>390</v>
      </c>
      <c r="L104" s="41" t="s">
        <v>391</v>
      </c>
    </row>
    <row r="105" spans="1:12">
      <c r="A105" s="41" t="s">
        <v>589</v>
      </c>
      <c r="B105" s="40">
        <f t="shared" si="3"/>
        <v>104</v>
      </c>
      <c r="C105" s="40" t="str">
        <f t="shared" si="2"/>
        <v>AD104</v>
      </c>
      <c r="D105" s="41" t="s">
        <v>24</v>
      </c>
      <c r="E105" s="41">
        <v>46</v>
      </c>
      <c r="F105" s="41" t="s">
        <v>26</v>
      </c>
      <c r="G105" s="41" t="s">
        <v>27</v>
      </c>
      <c r="H105" s="41" t="s">
        <v>607</v>
      </c>
      <c r="I105" s="41" t="s">
        <v>27</v>
      </c>
      <c r="J105" s="41" t="s">
        <v>607</v>
      </c>
      <c r="K105" s="41" t="s">
        <v>390</v>
      </c>
      <c r="L105" s="41" t="s">
        <v>391</v>
      </c>
    </row>
    <row r="106" spans="1:12">
      <c r="A106" s="41" t="s">
        <v>589</v>
      </c>
      <c r="B106" s="40">
        <f t="shared" si="3"/>
        <v>105</v>
      </c>
      <c r="C106" s="40" t="str">
        <f t="shared" si="2"/>
        <v>AD105</v>
      </c>
      <c r="D106" s="41" t="s">
        <v>39</v>
      </c>
      <c r="E106" s="41">
        <v>50</v>
      </c>
      <c r="F106" s="41" t="s">
        <v>26</v>
      </c>
      <c r="G106" s="41" t="s">
        <v>27</v>
      </c>
      <c r="H106" s="41" t="s">
        <v>607</v>
      </c>
      <c r="I106" s="41" t="s">
        <v>27</v>
      </c>
      <c r="J106" s="41" t="s">
        <v>607</v>
      </c>
      <c r="K106" s="41" t="s">
        <v>390</v>
      </c>
      <c r="L106" s="41" t="s">
        <v>391</v>
      </c>
    </row>
    <row r="107" spans="1:12">
      <c r="A107" s="41" t="s">
        <v>589</v>
      </c>
      <c r="B107" s="40">
        <f t="shared" si="3"/>
        <v>106</v>
      </c>
      <c r="C107" s="40" t="str">
        <f t="shared" si="2"/>
        <v>AD106</v>
      </c>
      <c r="D107" s="41" t="s">
        <v>24</v>
      </c>
      <c r="E107" s="41">
        <v>73</v>
      </c>
      <c r="F107" s="41" t="s">
        <v>26</v>
      </c>
      <c r="G107" s="41" t="s">
        <v>27</v>
      </c>
      <c r="H107" s="41" t="s">
        <v>607</v>
      </c>
      <c r="I107" s="41" t="s">
        <v>27</v>
      </c>
      <c r="J107" s="41" t="s">
        <v>607</v>
      </c>
      <c r="K107" s="41" t="s">
        <v>390</v>
      </c>
      <c r="L107" s="41" t="s">
        <v>402</v>
      </c>
    </row>
    <row r="108" spans="1:12">
      <c r="A108" s="41" t="s">
        <v>590</v>
      </c>
      <c r="B108" s="40">
        <f t="shared" si="3"/>
        <v>107</v>
      </c>
      <c r="C108" s="40" t="str">
        <f t="shared" si="2"/>
        <v>AE107</v>
      </c>
      <c r="D108" s="41" t="s">
        <v>24</v>
      </c>
      <c r="E108" s="41">
        <v>46</v>
      </c>
      <c r="F108" s="41" t="s">
        <v>26</v>
      </c>
      <c r="G108" s="41" t="s">
        <v>27</v>
      </c>
      <c r="H108" s="41" t="s">
        <v>607</v>
      </c>
      <c r="I108" s="41" t="s">
        <v>27</v>
      </c>
      <c r="J108" s="41" t="s">
        <v>607</v>
      </c>
      <c r="K108" s="41" t="s">
        <v>390</v>
      </c>
      <c r="L108" s="41" t="s">
        <v>391</v>
      </c>
    </row>
    <row r="109" spans="1:12">
      <c r="A109" s="41" t="s">
        <v>590</v>
      </c>
      <c r="B109" s="40">
        <f t="shared" si="3"/>
        <v>108</v>
      </c>
      <c r="C109" s="40" t="str">
        <f t="shared" si="2"/>
        <v>AE108</v>
      </c>
      <c r="D109" s="41" t="s">
        <v>39</v>
      </c>
      <c r="E109" s="41">
        <v>40</v>
      </c>
      <c r="F109" s="41" t="s">
        <v>26</v>
      </c>
      <c r="G109" s="41" t="s">
        <v>27</v>
      </c>
      <c r="H109" s="41" t="s">
        <v>607</v>
      </c>
      <c r="I109" s="41" t="s">
        <v>27</v>
      </c>
      <c r="J109" s="41" t="s">
        <v>607</v>
      </c>
      <c r="K109" s="41" t="s">
        <v>52</v>
      </c>
      <c r="L109" s="41" t="s">
        <v>391</v>
      </c>
    </row>
    <row r="110" spans="1:12">
      <c r="A110" s="41" t="s">
        <v>590</v>
      </c>
      <c r="B110" s="40">
        <f t="shared" si="3"/>
        <v>109</v>
      </c>
      <c r="C110" s="40" t="str">
        <f t="shared" si="2"/>
        <v>AE109</v>
      </c>
      <c r="D110" s="41" t="s">
        <v>39</v>
      </c>
      <c r="E110" s="41">
        <v>10</v>
      </c>
      <c r="F110" s="41" t="s">
        <v>44</v>
      </c>
      <c r="G110" s="41" t="s">
        <v>27</v>
      </c>
      <c r="H110" s="41" t="s">
        <v>607</v>
      </c>
      <c r="I110" s="41" t="s">
        <v>27</v>
      </c>
      <c r="J110" s="41" t="s">
        <v>607</v>
      </c>
      <c r="K110" s="41" t="s">
        <v>390</v>
      </c>
      <c r="L110" s="41" t="s">
        <v>411</v>
      </c>
    </row>
    <row r="111" spans="1:12">
      <c r="A111" s="41" t="s">
        <v>590</v>
      </c>
      <c r="B111" s="40">
        <f t="shared" si="3"/>
        <v>110</v>
      </c>
      <c r="C111" s="40" t="str">
        <f t="shared" si="2"/>
        <v>AE110</v>
      </c>
      <c r="D111" s="41" t="s">
        <v>39</v>
      </c>
      <c r="E111" s="41">
        <v>6</v>
      </c>
      <c r="F111" s="41" t="s">
        <v>44</v>
      </c>
      <c r="G111" s="41" t="s">
        <v>27</v>
      </c>
      <c r="H111" s="41" t="s">
        <v>607</v>
      </c>
      <c r="I111" s="41" t="s">
        <v>27</v>
      </c>
      <c r="J111" s="41" t="s">
        <v>607</v>
      </c>
      <c r="K111" s="41" t="s">
        <v>390</v>
      </c>
      <c r="L111" s="41" t="s">
        <v>411</v>
      </c>
    </row>
    <row r="112" spans="1:12">
      <c r="A112" s="41" t="s">
        <v>591</v>
      </c>
      <c r="B112" s="40">
        <f t="shared" si="3"/>
        <v>111</v>
      </c>
      <c r="C112" s="40" t="str">
        <f t="shared" si="2"/>
        <v>AF111</v>
      </c>
      <c r="D112" s="41" t="s">
        <v>24</v>
      </c>
      <c r="E112" s="41">
        <v>23</v>
      </c>
      <c r="F112" s="41" t="s">
        <v>44</v>
      </c>
      <c r="G112" s="41" t="s">
        <v>627</v>
      </c>
      <c r="H112" s="41" t="s">
        <v>416</v>
      </c>
      <c r="I112" s="41" t="s">
        <v>27</v>
      </c>
      <c r="J112" s="41" t="s">
        <v>607</v>
      </c>
      <c r="K112" s="41" t="s">
        <v>390</v>
      </c>
      <c r="L112" s="41" t="s">
        <v>391</v>
      </c>
    </row>
    <row r="113" spans="1:12">
      <c r="A113" s="41" t="s">
        <v>591</v>
      </c>
      <c r="B113" s="40">
        <f t="shared" si="3"/>
        <v>112</v>
      </c>
      <c r="C113" s="40" t="str">
        <f t="shared" si="2"/>
        <v>AF112</v>
      </c>
      <c r="D113" s="41" t="s">
        <v>39</v>
      </c>
      <c r="E113" s="41">
        <v>80</v>
      </c>
      <c r="F113" s="41" t="s">
        <v>26</v>
      </c>
      <c r="G113" s="41" t="s">
        <v>27</v>
      </c>
      <c r="H113" s="41" t="s">
        <v>607</v>
      </c>
      <c r="I113" s="41" t="s">
        <v>27</v>
      </c>
      <c r="J113" s="41" t="s">
        <v>607</v>
      </c>
      <c r="K113" s="41" t="s">
        <v>390</v>
      </c>
      <c r="L113" s="41" t="s">
        <v>391</v>
      </c>
    </row>
    <row r="114" spans="1:12">
      <c r="A114" s="41" t="s">
        <v>592</v>
      </c>
      <c r="B114" s="40">
        <f t="shared" si="3"/>
        <v>113</v>
      </c>
      <c r="C114" s="40" t="str">
        <f t="shared" si="2"/>
        <v>AG113</v>
      </c>
      <c r="D114" s="41" t="s">
        <v>24</v>
      </c>
      <c r="E114" s="41">
        <v>23</v>
      </c>
      <c r="F114" s="41" t="s">
        <v>44</v>
      </c>
      <c r="G114" s="41" t="s">
        <v>317</v>
      </c>
      <c r="H114" s="41" t="s">
        <v>625</v>
      </c>
      <c r="I114" s="41" t="s">
        <v>27</v>
      </c>
      <c r="J114" s="41" t="s">
        <v>607</v>
      </c>
      <c r="K114" s="41" t="s">
        <v>390</v>
      </c>
      <c r="L114" s="41" t="s">
        <v>391</v>
      </c>
    </row>
    <row r="115" spans="1:12">
      <c r="A115" s="41" t="s">
        <v>592</v>
      </c>
      <c r="B115" s="40">
        <f t="shared" si="3"/>
        <v>114</v>
      </c>
      <c r="C115" s="40" t="str">
        <f t="shared" si="2"/>
        <v>AG114</v>
      </c>
      <c r="D115" s="41" t="s">
        <v>24</v>
      </c>
      <c r="E115" s="41">
        <v>26</v>
      </c>
      <c r="F115" s="41" t="s">
        <v>44</v>
      </c>
      <c r="G115" s="41" t="s">
        <v>27</v>
      </c>
      <c r="H115" s="41" t="s">
        <v>607</v>
      </c>
      <c r="I115" s="41" t="s">
        <v>27</v>
      </c>
      <c r="J115" s="41" t="s">
        <v>607</v>
      </c>
      <c r="K115" s="41" t="s">
        <v>390</v>
      </c>
      <c r="L115" s="41" t="s">
        <v>391</v>
      </c>
    </row>
    <row r="116" spans="1:12">
      <c r="A116" s="41" t="s">
        <v>592</v>
      </c>
      <c r="B116" s="40">
        <f t="shared" si="3"/>
        <v>115</v>
      </c>
      <c r="C116" s="40" t="str">
        <f t="shared" si="2"/>
        <v>AG115</v>
      </c>
      <c r="D116" s="41" t="s">
        <v>39</v>
      </c>
      <c r="E116" s="41">
        <v>52</v>
      </c>
      <c r="F116" s="41" t="s">
        <v>26</v>
      </c>
      <c r="G116" s="41" t="s">
        <v>27</v>
      </c>
      <c r="H116" s="41" t="s">
        <v>607</v>
      </c>
      <c r="I116" s="41" t="s">
        <v>27</v>
      </c>
      <c r="J116" s="41" t="s">
        <v>607</v>
      </c>
      <c r="K116" s="41" t="s">
        <v>390</v>
      </c>
      <c r="L116" s="41" t="s">
        <v>391</v>
      </c>
    </row>
    <row r="117" spans="1:12">
      <c r="A117" s="41" t="s">
        <v>592</v>
      </c>
      <c r="B117" s="40">
        <f t="shared" si="3"/>
        <v>116</v>
      </c>
      <c r="C117" s="40" t="str">
        <f t="shared" si="2"/>
        <v>AG116</v>
      </c>
      <c r="D117" s="41" t="s">
        <v>24</v>
      </c>
      <c r="E117" s="41">
        <v>48</v>
      </c>
      <c r="F117" s="41" t="s">
        <v>26</v>
      </c>
      <c r="G117" s="41" t="s">
        <v>27</v>
      </c>
      <c r="H117" s="41" t="s">
        <v>607</v>
      </c>
      <c r="I117" s="41" t="s">
        <v>27</v>
      </c>
      <c r="J117" s="41" t="s">
        <v>607</v>
      </c>
      <c r="K117" s="41" t="s">
        <v>390</v>
      </c>
      <c r="L117" s="41" t="s">
        <v>402</v>
      </c>
    </row>
    <row r="118" spans="1:12">
      <c r="A118" s="41" t="s">
        <v>592</v>
      </c>
      <c r="B118" s="40">
        <f t="shared" si="3"/>
        <v>117</v>
      </c>
      <c r="C118" s="40" t="str">
        <f t="shared" si="2"/>
        <v>AG117</v>
      </c>
      <c r="D118" s="41" t="s">
        <v>39</v>
      </c>
      <c r="E118" s="41">
        <v>76</v>
      </c>
      <c r="F118" s="41" t="s">
        <v>26</v>
      </c>
      <c r="G118" s="41" t="s">
        <v>27</v>
      </c>
      <c r="H118" s="41" t="s">
        <v>607</v>
      </c>
      <c r="I118" s="41" t="s">
        <v>27</v>
      </c>
      <c r="J118" s="41" t="s">
        <v>607</v>
      </c>
      <c r="K118" s="41" t="s">
        <v>390</v>
      </c>
      <c r="L118" s="41" t="s">
        <v>391</v>
      </c>
    </row>
    <row r="119" spans="1:12">
      <c r="A119" s="41" t="s">
        <v>592</v>
      </c>
      <c r="B119" s="40">
        <f t="shared" si="3"/>
        <v>118</v>
      </c>
      <c r="C119" s="40" t="str">
        <f t="shared" si="2"/>
        <v>AG118</v>
      </c>
      <c r="D119" s="41" t="s">
        <v>24</v>
      </c>
      <c r="E119" s="41">
        <v>73</v>
      </c>
      <c r="F119" s="41" t="s">
        <v>26</v>
      </c>
      <c r="G119" s="41" t="s">
        <v>27</v>
      </c>
      <c r="H119" s="41" t="s">
        <v>607</v>
      </c>
      <c r="I119" s="41" t="s">
        <v>27</v>
      </c>
      <c r="J119" s="41" t="s">
        <v>607</v>
      </c>
      <c r="K119" s="41" t="s">
        <v>390</v>
      </c>
      <c r="L119" s="41" t="s">
        <v>391</v>
      </c>
    </row>
    <row r="120" spans="1:12">
      <c r="A120" s="41" t="s">
        <v>593</v>
      </c>
      <c r="B120" s="40">
        <f t="shared" si="3"/>
        <v>119</v>
      </c>
      <c r="C120" s="40" t="str">
        <f t="shared" si="2"/>
        <v>AH119</v>
      </c>
      <c r="D120" s="41" t="s">
        <v>39</v>
      </c>
      <c r="E120" s="41">
        <v>20</v>
      </c>
      <c r="F120" s="41" t="s">
        <v>44</v>
      </c>
      <c r="G120" s="41" t="s">
        <v>27</v>
      </c>
      <c r="H120" s="41" t="s">
        <v>607</v>
      </c>
      <c r="I120" s="41" t="s">
        <v>644</v>
      </c>
      <c r="J120" s="41" t="s">
        <v>645</v>
      </c>
      <c r="K120" s="41" t="s">
        <v>139</v>
      </c>
      <c r="L120" s="41" t="s">
        <v>391</v>
      </c>
    </row>
    <row r="121" spans="1:12">
      <c r="A121" s="41" t="s">
        <v>593</v>
      </c>
      <c r="B121" s="40">
        <f t="shared" si="3"/>
        <v>120</v>
      </c>
      <c r="C121" s="40" t="str">
        <f t="shared" si="2"/>
        <v>AH120</v>
      </c>
      <c r="D121" s="41" t="s">
        <v>24</v>
      </c>
      <c r="E121" s="41">
        <v>50</v>
      </c>
      <c r="F121" s="41" t="s">
        <v>26</v>
      </c>
      <c r="G121" s="41" t="s">
        <v>27</v>
      </c>
      <c r="H121" s="41" t="s">
        <v>607</v>
      </c>
      <c r="I121" s="41" t="s">
        <v>610</v>
      </c>
      <c r="J121" s="41" t="s">
        <v>611</v>
      </c>
      <c r="K121" s="41" t="s">
        <v>139</v>
      </c>
      <c r="L121" s="41" t="s">
        <v>30</v>
      </c>
    </row>
    <row r="122" spans="1:12">
      <c r="A122" s="41" t="s">
        <v>593</v>
      </c>
      <c r="B122" s="40">
        <f t="shared" si="3"/>
        <v>121</v>
      </c>
      <c r="C122" s="40" t="str">
        <f t="shared" si="2"/>
        <v>AH121</v>
      </c>
      <c r="D122" s="41" t="s">
        <v>39</v>
      </c>
      <c r="E122" s="41">
        <v>50</v>
      </c>
      <c r="F122" s="41" t="s">
        <v>26</v>
      </c>
      <c r="G122" s="41" t="s">
        <v>27</v>
      </c>
      <c r="H122" s="41" t="s">
        <v>607</v>
      </c>
      <c r="I122" s="41" t="s">
        <v>641</v>
      </c>
      <c r="J122" s="41" t="s">
        <v>609</v>
      </c>
      <c r="K122" s="41" t="s">
        <v>29</v>
      </c>
      <c r="L122" s="41" t="s">
        <v>30</v>
      </c>
    </row>
    <row r="123" spans="1:12">
      <c r="A123" s="41" t="s">
        <v>594</v>
      </c>
      <c r="B123" s="40">
        <f t="shared" si="3"/>
        <v>122</v>
      </c>
      <c r="C123" s="40" t="str">
        <f t="shared" si="2"/>
        <v>AI122</v>
      </c>
      <c r="D123" s="41" t="s">
        <v>39</v>
      </c>
      <c r="E123" s="41">
        <v>49</v>
      </c>
      <c r="F123" s="41" t="s">
        <v>26</v>
      </c>
      <c r="G123" s="41" t="s">
        <v>608</v>
      </c>
      <c r="H123" s="41" t="s">
        <v>609</v>
      </c>
      <c r="I123" s="41" t="s">
        <v>358</v>
      </c>
      <c r="J123" s="41" t="s">
        <v>609</v>
      </c>
      <c r="K123" s="41" t="s">
        <v>29</v>
      </c>
      <c r="L123" s="41" t="s">
        <v>391</v>
      </c>
    </row>
    <row r="124" spans="1:12">
      <c r="A124" s="41" t="s">
        <v>594</v>
      </c>
      <c r="B124" s="40">
        <f t="shared" si="3"/>
        <v>123</v>
      </c>
      <c r="C124" s="40" t="str">
        <f t="shared" si="2"/>
        <v>AI123</v>
      </c>
      <c r="D124" s="41" t="s">
        <v>24</v>
      </c>
      <c r="E124" s="41">
        <v>43</v>
      </c>
      <c r="F124" s="41" t="s">
        <v>26</v>
      </c>
      <c r="G124" s="41" t="s">
        <v>608</v>
      </c>
      <c r="H124" s="41" t="s">
        <v>609</v>
      </c>
      <c r="I124" s="41" t="s">
        <v>358</v>
      </c>
      <c r="J124" s="41" t="s">
        <v>609</v>
      </c>
      <c r="K124" s="41" t="s">
        <v>29</v>
      </c>
      <c r="L124" s="41" t="s">
        <v>402</v>
      </c>
    </row>
    <row r="125" spans="1:12">
      <c r="A125" s="41" t="s">
        <v>594</v>
      </c>
      <c r="B125" s="40">
        <f t="shared" si="3"/>
        <v>124</v>
      </c>
      <c r="C125" s="40" t="str">
        <f t="shared" si="2"/>
        <v>AI124</v>
      </c>
      <c r="D125" s="41" t="s">
        <v>24</v>
      </c>
      <c r="E125" s="41">
        <v>19</v>
      </c>
      <c r="F125" s="41" t="s">
        <v>44</v>
      </c>
      <c r="G125" s="41" t="s">
        <v>608</v>
      </c>
      <c r="H125" s="41" t="s">
        <v>609</v>
      </c>
      <c r="I125" s="41" t="s">
        <v>608</v>
      </c>
      <c r="J125" s="41" t="s">
        <v>609</v>
      </c>
      <c r="K125" s="41" t="s">
        <v>29</v>
      </c>
      <c r="L125" s="41" t="s">
        <v>391</v>
      </c>
    </row>
    <row r="126" spans="1:12">
      <c r="A126" s="41" t="s">
        <v>594</v>
      </c>
      <c r="B126" s="40">
        <f t="shared" si="3"/>
        <v>125</v>
      </c>
      <c r="C126" s="40" t="str">
        <f t="shared" si="2"/>
        <v>AI125</v>
      </c>
      <c r="D126" s="41" t="s">
        <v>39</v>
      </c>
      <c r="E126" s="41">
        <v>16</v>
      </c>
      <c r="F126" s="41" t="s">
        <v>44</v>
      </c>
      <c r="G126" s="41" t="s">
        <v>608</v>
      </c>
      <c r="H126" s="41" t="s">
        <v>609</v>
      </c>
      <c r="I126" s="41" t="s">
        <v>608</v>
      </c>
      <c r="J126" s="41" t="s">
        <v>609</v>
      </c>
      <c r="K126" s="41" t="s">
        <v>29</v>
      </c>
      <c r="L126" s="41" t="s">
        <v>402</v>
      </c>
    </row>
    <row r="127" spans="1:12">
      <c r="A127" s="41" t="s">
        <v>595</v>
      </c>
      <c r="B127" s="40">
        <f t="shared" si="3"/>
        <v>126</v>
      </c>
      <c r="C127" s="40" t="str">
        <f t="shared" si="2"/>
        <v>AO126</v>
      </c>
      <c r="D127" s="41" t="s">
        <v>39</v>
      </c>
      <c r="E127" s="41">
        <v>60</v>
      </c>
      <c r="F127" s="41" t="s">
        <v>26</v>
      </c>
      <c r="G127" s="41" t="s">
        <v>358</v>
      </c>
      <c r="H127" s="41" t="s">
        <v>609</v>
      </c>
      <c r="I127" s="41" t="s">
        <v>358</v>
      </c>
      <c r="J127" s="41" t="s">
        <v>609</v>
      </c>
      <c r="K127" s="41" t="s">
        <v>29</v>
      </c>
      <c r="L127" s="41" t="s">
        <v>391</v>
      </c>
    </row>
    <row r="128" spans="1:12">
      <c r="A128" s="41" t="s">
        <v>595</v>
      </c>
      <c r="B128" s="40">
        <f t="shared" si="3"/>
        <v>127</v>
      </c>
      <c r="C128" s="40" t="str">
        <f t="shared" si="2"/>
        <v>AO127</v>
      </c>
      <c r="D128" s="41" t="s">
        <v>24</v>
      </c>
      <c r="E128" s="41">
        <v>57</v>
      </c>
      <c r="F128" s="41" t="s">
        <v>26</v>
      </c>
      <c r="G128" s="41" t="s">
        <v>358</v>
      </c>
      <c r="H128" s="41" t="s">
        <v>609</v>
      </c>
      <c r="I128" s="41" t="s">
        <v>358</v>
      </c>
      <c r="J128" s="41" t="s">
        <v>609</v>
      </c>
      <c r="K128" s="41" t="s">
        <v>29</v>
      </c>
      <c r="L128" s="41" t="s">
        <v>30</v>
      </c>
    </row>
    <row r="129" spans="1:12">
      <c r="A129" s="41" t="s">
        <v>595</v>
      </c>
      <c r="B129" s="40">
        <f t="shared" si="3"/>
        <v>128</v>
      </c>
      <c r="C129" s="40" t="str">
        <f t="shared" si="2"/>
        <v>AO128</v>
      </c>
      <c r="D129" s="41" t="s">
        <v>24</v>
      </c>
      <c r="E129" s="41">
        <v>28</v>
      </c>
      <c r="F129" s="41" t="s">
        <v>44</v>
      </c>
      <c r="G129" s="41" t="s">
        <v>610</v>
      </c>
      <c r="H129" s="41" t="s">
        <v>611</v>
      </c>
      <c r="I129" s="41" t="s">
        <v>358</v>
      </c>
      <c r="J129" s="41" t="s">
        <v>609</v>
      </c>
      <c r="K129" s="41" t="s">
        <v>29</v>
      </c>
      <c r="L129" s="41" t="s">
        <v>465</v>
      </c>
    </row>
    <row r="130" spans="1:12">
      <c r="A130" s="41" t="s">
        <v>595</v>
      </c>
      <c r="B130" s="40">
        <f t="shared" si="3"/>
        <v>129</v>
      </c>
      <c r="C130" s="40" t="str">
        <f t="shared" si="2"/>
        <v>AO129</v>
      </c>
      <c r="D130" s="41" t="s">
        <v>24</v>
      </c>
      <c r="E130" s="41">
        <v>20</v>
      </c>
      <c r="F130" s="41" t="s">
        <v>44</v>
      </c>
      <c r="G130" s="41" t="s">
        <v>608</v>
      </c>
      <c r="H130" s="41" t="s">
        <v>609</v>
      </c>
      <c r="I130" s="41" t="s">
        <v>358</v>
      </c>
      <c r="J130" s="41" t="s">
        <v>609</v>
      </c>
      <c r="K130" s="41" t="s">
        <v>29</v>
      </c>
      <c r="L130" s="41" t="s">
        <v>391</v>
      </c>
    </row>
    <row r="131" spans="1:12">
      <c r="A131" s="41" t="s">
        <v>596</v>
      </c>
      <c r="B131" s="40">
        <f t="shared" si="3"/>
        <v>130</v>
      </c>
      <c r="C131" s="40" t="str">
        <f t="shared" ref="C131:C174" si="4">CONCATENATE(A131,B131)</f>
        <v>AP130</v>
      </c>
      <c r="D131" s="41" t="s">
        <v>39</v>
      </c>
      <c r="E131" s="41">
        <v>48</v>
      </c>
      <c r="F131" s="41" t="s">
        <v>26</v>
      </c>
      <c r="G131" s="41" t="s">
        <v>358</v>
      </c>
      <c r="H131" s="41" t="s">
        <v>609</v>
      </c>
      <c r="I131" s="41" t="s">
        <v>358</v>
      </c>
      <c r="J131" s="41" t="s">
        <v>609</v>
      </c>
      <c r="K131" s="41" t="s">
        <v>29</v>
      </c>
      <c r="L131" s="41" t="s">
        <v>30</v>
      </c>
    </row>
    <row r="132" spans="1:12">
      <c r="A132" s="41" t="s">
        <v>596</v>
      </c>
      <c r="B132" s="40">
        <f t="shared" ref="B132:B174" si="5">B131+1</f>
        <v>131</v>
      </c>
      <c r="C132" s="40" t="str">
        <f t="shared" si="4"/>
        <v>AP131</v>
      </c>
      <c r="D132" s="41" t="s">
        <v>24</v>
      </c>
      <c r="E132" s="41">
        <v>47</v>
      </c>
      <c r="F132" s="41" t="s">
        <v>26</v>
      </c>
      <c r="G132" s="41" t="s">
        <v>358</v>
      </c>
      <c r="H132" s="41" t="s">
        <v>609</v>
      </c>
      <c r="I132" s="41" t="s">
        <v>358</v>
      </c>
      <c r="J132" s="41" t="s">
        <v>609</v>
      </c>
      <c r="K132" s="41" t="s">
        <v>29</v>
      </c>
      <c r="L132" s="41" t="s">
        <v>30</v>
      </c>
    </row>
    <row r="133" spans="1:12">
      <c r="A133" s="41" t="s">
        <v>597</v>
      </c>
      <c r="B133" s="40">
        <f t="shared" si="5"/>
        <v>132</v>
      </c>
      <c r="C133" s="40" t="str">
        <f t="shared" si="4"/>
        <v>AQ132</v>
      </c>
      <c r="D133" s="41" t="s">
        <v>39</v>
      </c>
      <c r="E133" s="41">
        <v>40</v>
      </c>
      <c r="F133" s="41" t="s">
        <v>44</v>
      </c>
      <c r="G133" s="41" t="s">
        <v>358</v>
      </c>
      <c r="H133" s="41" t="s">
        <v>609</v>
      </c>
      <c r="I133" s="41" t="s">
        <v>358</v>
      </c>
      <c r="J133" s="41" t="s">
        <v>609</v>
      </c>
      <c r="K133" s="41" t="s">
        <v>29</v>
      </c>
      <c r="L133" s="41" t="s">
        <v>391</v>
      </c>
    </row>
    <row r="134" spans="1:12">
      <c r="A134" s="41" t="s">
        <v>597</v>
      </c>
      <c r="B134" s="40">
        <f t="shared" si="5"/>
        <v>133</v>
      </c>
      <c r="C134" s="40" t="str">
        <f t="shared" si="4"/>
        <v>AQ133</v>
      </c>
      <c r="D134" s="41" t="s">
        <v>39</v>
      </c>
      <c r="E134" s="41">
        <v>43</v>
      </c>
      <c r="F134" s="41" t="s">
        <v>44</v>
      </c>
      <c r="G134" s="41" t="s">
        <v>358</v>
      </c>
      <c r="H134" s="41" t="s">
        <v>609</v>
      </c>
      <c r="I134" s="41" t="s">
        <v>646</v>
      </c>
      <c r="J134" s="41" t="s">
        <v>609</v>
      </c>
      <c r="K134" s="41" t="s">
        <v>479</v>
      </c>
      <c r="L134" s="41" t="s">
        <v>30</v>
      </c>
    </row>
    <row r="135" spans="1:12">
      <c r="A135" s="41" t="s">
        <v>597</v>
      </c>
      <c r="B135" s="40">
        <f t="shared" si="5"/>
        <v>134</v>
      </c>
      <c r="C135" s="40" t="str">
        <f t="shared" si="4"/>
        <v>AQ134</v>
      </c>
      <c r="D135" s="41" t="s">
        <v>39</v>
      </c>
      <c r="E135" s="41">
        <v>31</v>
      </c>
      <c r="F135" s="41" t="s">
        <v>44</v>
      </c>
      <c r="G135" s="41" t="s">
        <v>358</v>
      </c>
      <c r="H135" s="41" t="s">
        <v>609</v>
      </c>
      <c r="I135" s="41" t="s">
        <v>647</v>
      </c>
      <c r="J135" s="41" t="s">
        <v>609</v>
      </c>
      <c r="K135" s="41" t="s">
        <v>29</v>
      </c>
      <c r="L135" s="41" t="s">
        <v>391</v>
      </c>
    </row>
    <row r="136" spans="1:12">
      <c r="A136" s="41" t="s">
        <v>597</v>
      </c>
      <c r="B136" s="40">
        <f t="shared" si="5"/>
        <v>135</v>
      </c>
      <c r="C136" s="40" t="str">
        <f t="shared" si="4"/>
        <v>AQ135</v>
      </c>
      <c r="D136" s="41" t="s">
        <v>24</v>
      </c>
      <c r="E136" s="41">
        <v>36</v>
      </c>
      <c r="F136" s="41" t="s">
        <v>44</v>
      </c>
      <c r="G136" s="41" t="s">
        <v>358</v>
      </c>
      <c r="H136" s="41" t="s">
        <v>609</v>
      </c>
      <c r="I136" s="41" t="s">
        <v>358</v>
      </c>
      <c r="J136" s="41" t="s">
        <v>609</v>
      </c>
      <c r="K136" s="41" t="s">
        <v>29</v>
      </c>
      <c r="L136" s="41" t="s">
        <v>30</v>
      </c>
    </row>
    <row r="137" spans="1:12">
      <c r="A137" s="41" t="s">
        <v>544</v>
      </c>
      <c r="B137" s="40">
        <f t="shared" si="5"/>
        <v>136</v>
      </c>
      <c r="C137" s="40" t="str">
        <f t="shared" si="4"/>
        <v>AR136</v>
      </c>
      <c r="D137" s="41" t="s">
        <v>39</v>
      </c>
      <c r="E137" s="41">
        <v>19</v>
      </c>
      <c r="F137" s="41" t="s">
        <v>44</v>
      </c>
      <c r="G137" s="41" t="s">
        <v>610</v>
      </c>
      <c r="H137" s="41" t="s">
        <v>611</v>
      </c>
      <c r="I137" s="41" t="s">
        <v>648</v>
      </c>
      <c r="J137" s="41" t="s">
        <v>649</v>
      </c>
      <c r="K137" s="41" t="s">
        <v>139</v>
      </c>
      <c r="L137" s="41" t="s">
        <v>391</v>
      </c>
    </row>
    <row r="138" spans="1:12">
      <c r="A138" s="41" t="s">
        <v>544</v>
      </c>
      <c r="B138" s="40">
        <f t="shared" si="5"/>
        <v>137</v>
      </c>
      <c r="C138" s="40" t="str">
        <f t="shared" si="4"/>
        <v>AR137</v>
      </c>
      <c r="D138" s="41" t="s">
        <v>24</v>
      </c>
      <c r="E138" s="41">
        <v>54</v>
      </c>
      <c r="F138" s="41" t="s">
        <v>26</v>
      </c>
      <c r="G138" s="41" t="s">
        <v>610</v>
      </c>
      <c r="H138" s="41" t="s">
        <v>611</v>
      </c>
      <c r="I138" s="41" t="s">
        <v>650</v>
      </c>
      <c r="J138" s="41" t="s">
        <v>649</v>
      </c>
      <c r="K138" s="41" t="s">
        <v>139</v>
      </c>
      <c r="L138" s="41" t="s">
        <v>30</v>
      </c>
    </row>
    <row r="139" spans="1:12">
      <c r="A139" s="41" t="s">
        <v>544</v>
      </c>
      <c r="B139" s="40">
        <f t="shared" si="5"/>
        <v>138</v>
      </c>
      <c r="C139" s="40" t="str">
        <f t="shared" si="4"/>
        <v>AR138</v>
      </c>
      <c r="D139" s="41" t="s">
        <v>39</v>
      </c>
      <c r="E139" s="41">
        <v>59</v>
      </c>
      <c r="F139" s="41" t="s">
        <v>26</v>
      </c>
      <c r="G139" s="41" t="s">
        <v>610</v>
      </c>
      <c r="H139" s="41" t="s">
        <v>611</v>
      </c>
      <c r="I139" s="41" t="s">
        <v>651</v>
      </c>
      <c r="J139" s="41" t="s">
        <v>652</v>
      </c>
      <c r="K139" s="41" t="s">
        <v>139</v>
      </c>
      <c r="L139" s="41" t="s">
        <v>30</v>
      </c>
    </row>
    <row r="140" spans="1:12">
      <c r="A140" s="41" t="s">
        <v>544</v>
      </c>
      <c r="B140" s="40">
        <f t="shared" si="5"/>
        <v>139</v>
      </c>
      <c r="C140" s="40" t="str">
        <f t="shared" si="4"/>
        <v>AR139</v>
      </c>
      <c r="D140" s="41" t="s">
        <v>24</v>
      </c>
      <c r="E140" s="41">
        <v>29</v>
      </c>
      <c r="F140" s="41" t="s">
        <v>44</v>
      </c>
      <c r="G140" s="41" t="s">
        <v>610</v>
      </c>
      <c r="H140" s="41" t="s">
        <v>611</v>
      </c>
      <c r="I140" s="41" t="s">
        <v>653</v>
      </c>
      <c r="J140" s="41" t="s">
        <v>649</v>
      </c>
      <c r="K140" s="41" t="s">
        <v>139</v>
      </c>
      <c r="L140" s="41" t="s">
        <v>465</v>
      </c>
    </row>
    <row r="141" spans="1:12">
      <c r="A141" s="41" t="s">
        <v>550</v>
      </c>
      <c r="B141" s="40">
        <f t="shared" si="5"/>
        <v>140</v>
      </c>
      <c r="C141" s="40" t="str">
        <f t="shared" si="4"/>
        <v>AS140</v>
      </c>
      <c r="D141" s="41" t="s">
        <v>39</v>
      </c>
      <c r="E141" s="41">
        <v>43</v>
      </c>
      <c r="F141" s="41" t="s">
        <v>26</v>
      </c>
      <c r="G141" s="41" t="s">
        <v>610</v>
      </c>
      <c r="H141" s="41" t="s">
        <v>611</v>
      </c>
      <c r="I141" s="41" t="s">
        <v>654</v>
      </c>
      <c r="J141" s="41" t="s">
        <v>649</v>
      </c>
      <c r="K141" s="41" t="s">
        <v>139</v>
      </c>
      <c r="L141" s="41" t="s">
        <v>30</v>
      </c>
    </row>
    <row r="142" spans="1:12">
      <c r="A142" s="41" t="s">
        <v>550</v>
      </c>
      <c r="B142" s="40">
        <f t="shared" si="5"/>
        <v>141</v>
      </c>
      <c r="C142" s="40" t="str">
        <f t="shared" si="4"/>
        <v>AS141</v>
      </c>
      <c r="D142" s="41" t="s">
        <v>24</v>
      </c>
      <c r="E142" s="41">
        <v>41</v>
      </c>
      <c r="F142" s="41" t="s">
        <v>26</v>
      </c>
      <c r="G142" s="41" t="s">
        <v>610</v>
      </c>
      <c r="H142" s="41" t="s">
        <v>611</v>
      </c>
      <c r="I142" s="41" t="s">
        <v>653</v>
      </c>
      <c r="J142" s="41" t="s">
        <v>649</v>
      </c>
      <c r="K142" s="41" t="s">
        <v>139</v>
      </c>
      <c r="L142" s="41" t="s">
        <v>30</v>
      </c>
    </row>
    <row r="143" spans="1:12">
      <c r="A143" s="41" t="s">
        <v>550</v>
      </c>
      <c r="B143" s="40">
        <f t="shared" si="5"/>
        <v>142</v>
      </c>
      <c r="C143" s="40" t="str">
        <f t="shared" si="4"/>
        <v>AS142</v>
      </c>
      <c r="D143" s="41" t="s">
        <v>39</v>
      </c>
      <c r="E143" s="41">
        <v>14</v>
      </c>
      <c r="F143" s="41" t="s">
        <v>44</v>
      </c>
      <c r="G143" s="41" t="s">
        <v>610</v>
      </c>
      <c r="H143" s="41" t="s">
        <v>611</v>
      </c>
      <c r="I143" s="41" t="s">
        <v>610</v>
      </c>
      <c r="J143" s="41" t="s">
        <v>611</v>
      </c>
      <c r="K143" s="41" t="s">
        <v>139</v>
      </c>
      <c r="L143" s="41" t="s">
        <v>507</v>
      </c>
    </row>
    <row r="144" spans="1:12">
      <c r="A144" s="41" t="s">
        <v>598</v>
      </c>
      <c r="B144" s="40">
        <f t="shared" si="5"/>
        <v>143</v>
      </c>
      <c r="C144" s="40" t="str">
        <f t="shared" si="4"/>
        <v>AT143</v>
      </c>
      <c r="D144" s="41" t="s">
        <v>24</v>
      </c>
      <c r="E144" s="41">
        <v>19</v>
      </c>
      <c r="F144" s="41" t="s">
        <v>518</v>
      </c>
      <c r="G144" s="41" t="s">
        <v>27</v>
      </c>
      <c r="H144" s="41" t="s">
        <v>614</v>
      </c>
      <c r="I144" s="41" t="s">
        <v>320</v>
      </c>
      <c r="J144" s="41" t="s">
        <v>614</v>
      </c>
      <c r="K144" s="41" t="s">
        <v>231</v>
      </c>
      <c r="L144" s="41" t="s">
        <v>107</v>
      </c>
    </row>
    <row r="145" spans="1:12">
      <c r="A145" s="41" t="s">
        <v>598</v>
      </c>
      <c r="B145" s="40">
        <f t="shared" si="5"/>
        <v>144</v>
      </c>
      <c r="C145" s="40" t="str">
        <f t="shared" si="4"/>
        <v>AT144</v>
      </c>
      <c r="D145" s="41" t="s">
        <v>24</v>
      </c>
      <c r="E145" s="41">
        <v>46</v>
      </c>
      <c r="F145" s="41" t="s">
        <v>26</v>
      </c>
      <c r="G145" s="41" t="s">
        <v>27</v>
      </c>
      <c r="H145" s="41" t="s">
        <v>614</v>
      </c>
      <c r="I145" s="41" t="s">
        <v>320</v>
      </c>
      <c r="J145" s="41" t="s">
        <v>614</v>
      </c>
      <c r="K145" s="41" t="s">
        <v>231</v>
      </c>
      <c r="L145" s="41" t="s">
        <v>107</v>
      </c>
    </row>
    <row r="146" spans="1:12">
      <c r="A146" s="41" t="s">
        <v>598</v>
      </c>
      <c r="B146" s="40">
        <f t="shared" si="5"/>
        <v>145</v>
      </c>
      <c r="C146" s="40" t="str">
        <f t="shared" si="4"/>
        <v>AT145</v>
      </c>
      <c r="D146" s="41" t="s">
        <v>39</v>
      </c>
      <c r="E146" s="41">
        <v>48</v>
      </c>
      <c r="F146" s="41" t="s">
        <v>26</v>
      </c>
      <c r="G146" s="41" t="s">
        <v>27</v>
      </c>
      <c r="H146" s="41" t="s">
        <v>614</v>
      </c>
      <c r="I146" s="41" t="s">
        <v>320</v>
      </c>
      <c r="J146" s="41" t="s">
        <v>614</v>
      </c>
      <c r="K146" s="41" t="s">
        <v>231</v>
      </c>
      <c r="L146" s="41" t="s">
        <v>107</v>
      </c>
    </row>
    <row r="147" spans="1:12">
      <c r="A147" s="41" t="s">
        <v>599</v>
      </c>
      <c r="B147" s="40">
        <f t="shared" si="5"/>
        <v>146</v>
      </c>
      <c r="C147" s="40" t="str">
        <f t="shared" si="4"/>
        <v>AU146</v>
      </c>
      <c r="D147" s="41" t="s">
        <v>24</v>
      </c>
      <c r="E147" s="41">
        <v>46</v>
      </c>
      <c r="F147" s="41" t="s">
        <v>526</v>
      </c>
      <c r="G147" s="41" t="s">
        <v>84</v>
      </c>
      <c r="H147" s="41" t="s">
        <v>616</v>
      </c>
      <c r="I147" s="41" t="s">
        <v>84</v>
      </c>
      <c r="J147" s="41" t="s">
        <v>167</v>
      </c>
      <c r="K147" s="41" t="s">
        <v>29</v>
      </c>
      <c r="L147" s="41" t="s">
        <v>30</v>
      </c>
    </row>
    <row r="148" spans="1:12">
      <c r="A148" s="41" t="s">
        <v>599</v>
      </c>
      <c r="B148" s="40">
        <f t="shared" si="5"/>
        <v>147</v>
      </c>
      <c r="C148" s="40" t="str">
        <f t="shared" si="4"/>
        <v>AU147</v>
      </c>
      <c r="D148" s="41" t="s">
        <v>39</v>
      </c>
      <c r="E148" s="41">
        <v>20</v>
      </c>
      <c r="F148" s="41" t="s">
        <v>519</v>
      </c>
      <c r="G148" s="41" t="s">
        <v>84</v>
      </c>
      <c r="H148" s="41" t="s">
        <v>616</v>
      </c>
      <c r="I148" s="41" t="s">
        <v>84</v>
      </c>
      <c r="J148" s="41" t="s">
        <v>616</v>
      </c>
      <c r="K148" s="41" t="s">
        <v>29</v>
      </c>
      <c r="L148" s="41" t="s">
        <v>107</v>
      </c>
    </row>
    <row r="149" spans="1:12">
      <c r="A149" s="41" t="s">
        <v>599</v>
      </c>
      <c r="B149" s="40">
        <f t="shared" si="5"/>
        <v>148</v>
      </c>
      <c r="C149" s="40" t="str">
        <f t="shared" si="4"/>
        <v>AU148</v>
      </c>
      <c r="D149" s="41" t="s">
        <v>39</v>
      </c>
      <c r="E149" s="41">
        <v>15</v>
      </c>
      <c r="F149" s="41" t="s">
        <v>519</v>
      </c>
      <c r="G149" s="41" t="s">
        <v>215</v>
      </c>
      <c r="H149" s="41" t="s">
        <v>623</v>
      </c>
      <c r="I149" s="41" t="s">
        <v>84</v>
      </c>
      <c r="J149" s="41" t="s">
        <v>616</v>
      </c>
      <c r="K149" s="41" t="s">
        <v>29</v>
      </c>
      <c r="L149" s="41" t="s">
        <v>530</v>
      </c>
    </row>
    <row r="150" spans="1:12">
      <c r="A150" s="41" t="s">
        <v>600</v>
      </c>
      <c r="B150" s="40">
        <f t="shared" si="5"/>
        <v>149</v>
      </c>
      <c r="C150" s="40" t="str">
        <f t="shared" si="4"/>
        <v>AV149</v>
      </c>
      <c r="D150" s="41" t="s">
        <v>24</v>
      </c>
      <c r="E150" s="41">
        <v>16</v>
      </c>
      <c r="F150" s="41" t="s">
        <v>519</v>
      </c>
      <c r="G150" s="41" t="s">
        <v>84</v>
      </c>
      <c r="H150" s="41" t="s">
        <v>616</v>
      </c>
      <c r="I150" s="41" t="s">
        <v>532</v>
      </c>
      <c r="J150" s="41" t="s">
        <v>167</v>
      </c>
      <c r="K150" s="41" t="s">
        <v>533</v>
      </c>
      <c r="L150" s="41" t="s">
        <v>519</v>
      </c>
    </row>
    <row r="151" spans="1:12">
      <c r="A151" s="41" t="s">
        <v>600</v>
      </c>
      <c r="B151" s="40">
        <f t="shared" si="5"/>
        <v>150</v>
      </c>
      <c r="C151" s="40" t="str">
        <f t="shared" si="4"/>
        <v>AV150</v>
      </c>
      <c r="D151" s="41" t="s">
        <v>24</v>
      </c>
      <c r="E151" s="41">
        <v>48</v>
      </c>
      <c r="F151" s="41" t="s">
        <v>26</v>
      </c>
      <c r="G151" s="41" t="s">
        <v>27</v>
      </c>
      <c r="H151" s="41" t="s">
        <v>614</v>
      </c>
      <c r="I151" s="41" t="s">
        <v>532</v>
      </c>
      <c r="J151" s="41" t="s">
        <v>167</v>
      </c>
      <c r="K151" s="41" t="s">
        <v>533</v>
      </c>
      <c r="L151" s="41" t="s">
        <v>30</v>
      </c>
    </row>
    <row r="152" spans="1:12">
      <c r="A152" s="41" t="s">
        <v>600</v>
      </c>
      <c r="B152" s="40">
        <f t="shared" si="5"/>
        <v>151</v>
      </c>
      <c r="C152" s="40" t="str">
        <f t="shared" si="4"/>
        <v>AV151</v>
      </c>
      <c r="D152" s="41" t="s">
        <v>39</v>
      </c>
      <c r="E152" s="41">
        <v>55</v>
      </c>
      <c r="F152" s="41" t="s">
        <v>26</v>
      </c>
      <c r="G152" s="41" t="s">
        <v>88</v>
      </c>
      <c r="H152" s="41" t="s">
        <v>618</v>
      </c>
      <c r="I152" s="41" t="s">
        <v>532</v>
      </c>
      <c r="J152" s="41" t="s">
        <v>167</v>
      </c>
      <c r="K152" s="41" t="s">
        <v>533</v>
      </c>
      <c r="L152" s="41" t="s">
        <v>30</v>
      </c>
    </row>
    <row r="153" spans="1:12">
      <c r="A153" s="41" t="s">
        <v>601</v>
      </c>
      <c r="B153" s="40">
        <f t="shared" si="5"/>
        <v>152</v>
      </c>
      <c r="C153" s="40" t="str">
        <f t="shared" si="4"/>
        <v>AW152</v>
      </c>
      <c r="D153" s="41" t="s">
        <v>24</v>
      </c>
      <c r="E153" s="41">
        <v>36</v>
      </c>
      <c r="F153" s="41" t="s">
        <v>26</v>
      </c>
      <c r="G153" s="41" t="s">
        <v>543</v>
      </c>
      <c r="H153" s="41" t="s">
        <v>628</v>
      </c>
      <c r="I153" s="41" t="s">
        <v>284</v>
      </c>
      <c r="J153" s="41" t="s">
        <v>614</v>
      </c>
      <c r="K153" s="41" t="s">
        <v>231</v>
      </c>
      <c r="L153" s="41" t="s">
        <v>30</v>
      </c>
    </row>
    <row r="154" spans="1:12">
      <c r="A154" s="41" t="s">
        <v>601</v>
      </c>
      <c r="B154" s="40">
        <f t="shared" si="5"/>
        <v>153</v>
      </c>
      <c r="C154" s="40" t="str">
        <f t="shared" si="4"/>
        <v>AW153</v>
      </c>
      <c r="D154" s="41" t="s">
        <v>39</v>
      </c>
      <c r="E154" s="41">
        <v>5</v>
      </c>
      <c r="F154" s="41" t="s">
        <v>519</v>
      </c>
      <c r="G154" s="41" t="s">
        <v>277</v>
      </c>
      <c r="H154" s="41" t="s">
        <v>614</v>
      </c>
      <c r="I154" s="41" t="s">
        <v>284</v>
      </c>
      <c r="J154" s="41" t="s">
        <v>614</v>
      </c>
      <c r="K154" s="41" t="s">
        <v>231</v>
      </c>
      <c r="L154" s="41" t="s">
        <v>519</v>
      </c>
    </row>
    <row r="155" spans="1:12">
      <c r="A155" s="41" t="s">
        <v>601</v>
      </c>
      <c r="B155" s="40">
        <f t="shared" si="5"/>
        <v>154</v>
      </c>
      <c r="C155" s="40" t="str">
        <f t="shared" si="4"/>
        <v>AW154</v>
      </c>
      <c r="D155" s="41" t="s">
        <v>24</v>
      </c>
      <c r="E155" s="41">
        <v>1.5</v>
      </c>
      <c r="F155" s="41" t="s">
        <v>519</v>
      </c>
      <c r="G155" s="41" t="s">
        <v>277</v>
      </c>
      <c r="H155" s="41" t="s">
        <v>614</v>
      </c>
      <c r="I155" s="41" t="s">
        <v>284</v>
      </c>
      <c r="J155" s="41" t="s">
        <v>614</v>
      </c>
      <c r="K155" s="41" t="s">
        <v>231</v>
      </c>
      <c r="L155" s="41" t="s">
        <v>519</v>
      </c>
    </row>
    <row r="156" spans="1:12">
      <c r="A156" s="41" t="s">
        <v>601</v>
      </c>
      <c r="B156" s="40">
        <f t="shared" si="5"/>
        <v>155</v>
      </c>
      <c r="C156" s="40" t="str">
        <f t="shared" si="4"/>
        <v>AW155</v>
      </c>
      <c r="D156" s="41" t="s">
        <v>39</v>
      </c>
      <c r="E156" s="41">
        <v>37</v>
      </c>
      <c r="F156" s="41" t="s">
        <v>26</v>
      </c>
      <c r="G156" s="41" t="s">
        <v>548</v>
      </c>
      <c r="H156" s="41" t="s">
        <v>628</v>
      </c>
      <c r="I156" s="41" t="s">
        <v>284</v>
      </c>
      <c r="J156" s="41" t="s">
        <v>614</v>
      </c>
      <c r="K156" s="41" t="s">
        <v>231</v>
      </c>
      <c r="L156" s="41" t="s">
        <v>30</v>
      </c>
    </row>
    <row r="157" spans="1:12">
      <c r="A157" s="41" t="s">
        <v>602</v>
      </c>
      <c r="B157" s="40">
        <f t="shared" si="5"/>
        <v>156</v>
      </c>
      <c r="C157" s="40" t="str">
        <f t="shared" si="4"/>
        <v>AX156</v>
      </c>
      <c r="D157" s="41" t="s">
        <v>24</v>
      </c>
      <c r="E157" s="41">
        <v>19</v>
      </c>
      <c r="F157" s="41" t="s">
        <v>519</v>
      </c>
      <c r="G157" s="41" t="s">
        <v>27</v>
      </c>
      <c r="H157" s="41" t="s">
        <v>614</v>
      </c>
      <c r="I157" s="41" t="s">
        <v>320</v>
      </c>
      <c r="J157" s="41" t="s">
        <v>614</v>
      </c>
      <c r="K157" s="41" t="s">
        <v>231</v>
      </c>
      <c r="L157" s="41" t="s">
        <v>530</v>
      </c>
    </row>
    <row r="158" spans="1:12">
      <c r="A158" s="41" t="s">
        <v>602</v>
      </c>
      <c r="B158" s="40">
        <f t="shared" si="5"/>
        <v>157</v>
      </c>
      <c r="C158" s="40" t="str">
        <f t="shared" si="4"/>
        <v>AX157</v>
      </c>
      <c r="D158" s="41" t="s">
        <v>39</v>
      </c>
      <c r="E158" s="41">
        <v>52</v>
      </c>
      <c r="F158" s="41" t="s">
        <v>26</v>
      </c>
      <c r="G158" s="43" t="s">
        <v>27</v>
      </c>
      <c r="H158" s="43" t="s">
        <v>614</v>
      </c>
      <c r="I158" s="41" t="s">
        <v>320</v>
      </c>
      <c r="J158" s="41" t="s">
        <v>614</v>
      </c>
      <c r="K158" s="41" t="s">
        <v>231</v>
      </c>
      <c r="L158" s="41" t="s">
        <v>30</v>
      </c>
    </row>
    <row r="159" spans="1:12">
      <c r="A159" s="41" t="s">
        <v>602</v>
      </c>
      <c r="B159" s="40">
        <f t="shared" si="5"/>
        <v>158</v>
      </c>
      <c r="C159" s="40" t="str">
        <f t="shared" si="4"/>
        <v>AX158</v>
      </c>
      <c r="D159" s="41" t="s">
        <v>24</v>
      </c>
      <c r="E159" s="41">
        <v>48</v>
      </c>
      <c r="F159" s="41" t="s">
        <v>26</v>
      </c>
      <c r="G159" s="43" t="s">
        <v>27</v>
      </c>
      <c r="H159" s="43" t="s">
        <v>614</v>
      </c>
      <c r="I159" s="41" t="s">
        <v>320</v>
      </c>
      <c r="J159" s="41" t="s">
        <v>614</v>
      </c>
      <c r="K159" s="41" t="s">
        <v>231</v>
      </c>
      <c r="L159" s="41" t="s">
        <v>107</v>
      </c>
    </row>
    <row r="160" spans="1:12">
      <c r="A160" s="41" t="s">
        <v>602</v>
      </c>
      <c r="B160" s="40">
        <f t="shared" si="5"/>
        <v>159</v>
      </c>
      <c r="C160" s="40" t="str">
        <f t="shared" si="4"/>
        <v>AX159</v>
      </c>
      <c r="D160" s="41" t="s">
        <v>24</v>
      </c>
      <c r="E160" s="41">
        <v>13</v>
      </c>
      <c r="F160" s="41" t="s">
        <v>518</v>
      </c>
      <c r="G160" s="43" t="s">
        <v>27</v>
      </c>
      <c r="H160" s="43" t="s">
        <v>614</v>
      </c>
      <c r="I160" s="41" t="s">
        <v>320</v>
      </c>
      <c r="J160" s="41" t="s">
        <v>614</v>
      </c>
      <c r="K160" s="41" t="s">
        <v>231</v>
      </c>
      <c r="L160" s="41" t="s">
        <v>519</v>
      </c>
    </row>
    <row r="161" spans="1:12">
      <c r="A161" s="41" t="s">
        <v>603</v>
      </c>
      <c r="B161" s="40">
        <f t="shared" si="5"/>
        <v>160</v>
      </c>
      <c r="C161" s="40" t="str">
        <f t="shared" si="4"/>
        <v>AY160</v>
      </c>
      <c r="D161" s="41" t="s">
        <v>24</v>
      </c>
      <c r="E161" s="41">
        <v>19</v>
      </c>
      <c r="F161" s="41" t="s">
        <v>518</v>
      </c>
      <c r="G161" s="43" t="s">
        <v>27</v>
      </c>
      <c r="H161" s="43" t="s">
        <v>614</v>
      </c>
      <c r="I161" s="41" t="s">
        <v>320</v>
      </c>
      <c r="J161" s="41" t="s">
        <v>614</v>
      </c>
      <c r="K161" s="41" t="s">
        <v>552</v>
      </c>
      <c r="L161" s="41" t="s">
        <v>530</v>
      </c>
    </row>
    <row r="162" spans="1:12">
      <c r="A162" s="41" t="s">
        <v>603</v>
      </c>
      <c r="B162" s="40">
        <f t="shared" si="5"/>
        <v>161</v>
      </c>
      <c r="C162" s="40" t="str">
        <f t="shared" si="4"/>
        <v>AY161</v>
      </c>
      <c r="D162" s="41" t="s">
        <v>39</v>
      </c>
      <c r="E162" s="41">
        <v>53</v>
      </c>
      <c r="F162" s="41" t="s">
        <v>26</v>
      </c>
      <c r="G162" s="43" t="s">
        <v>27</v>
      </c>
      <c r="H162" s="43" t="s">
        <v>614</v>
      </c>
      <c r="I162" s="41" t="s">
        <v>320</v>
      </c>
      <c r="J162" s="41" t="s">
        <v>614</v>
      </c>
      <c r="K162" s="41" t="s">
        <v>552</v>
      </c>
      <c r="L162" s="41" t="s">
        <v>107</v>
      </c>
    </row>
    <row r="163" spans="1:12">
      <c r="A163" s="41" t="s">
        <v>603</v>
      </c>
      <c r="B163" s="40">
        <f t="shared" si="5"/>
        <v>162</v>
      </c>
      <c r="C163" s="40" t="str">
        <f t="shared" si="4"/>
        <v>AY162</v>
      </c>
      <c r="D163" s="41" t="s">
        <v>24</v>
      </c>
      <c r="E163" s="41">
        <v>50</v>
      </c>
      <c r="F163" s="41" t="s">
        <v>26</v>
      </c>
      <c r="G163" s="43" t="s">
        <v>27</v>
      </c>
      <c r="H163" s="43" t="s">
        <v>614</v>
      </c>
      <c r="I163" s="41" t="s">
        <v>320</v>
      </c>
      <c r="J163" s="41" t="s">
        <v>614</v>
      </c>
      <c r="K163" s="41" t="s">
        <v>552</v>
      </c>
      <c r="L163" s="41" t="s">
        <v>107</v>
      </c>
    </row>
    <row r="164" spans="1:12">
      <c r="A164" s="41" t="s">
        <v>604</v>
      </c>
      <c r="B164" s="40">
        <f t="shared" si="5"/>
        <v>163</v>
      </c>
      <c r="C164" s="40" t="str">
        <f t="shared" si="4"/>
        <v>AZ163</v>
      </c>
      <c r="D164" s="41" t="s">
        <v>39</v>
      </c>
      <c r="E164" s="41">
        <v>20</v>
      </c>
      <c r="F164" s="41" t="s">
        <v>518</v>
      </c>
      <c r="G164" s="41" t="s">
        <v>557</v>
      </c>
      <c r="H164" s="41" t="s">
        <v>628</v>
      </c>
      <c r="I164" s="41" t="s">
        <v>281</v>
      </c>
      <c r="J164" s="41" t="s">
        <v>614</v>
      </c>
      <c r="K164" s="41" t="s">
        <v>558</v>
      </c>
      <c r="L164" s="41" t="s">
        <v>107</v>
      </c>
    </row>
    <row r="165" spans="1:12">
      <c r="A165" s="41" t="s">
        <v>604</v>
      </c>
      <c r="B165" s="40">
        <f t="shared" si="5"/>
        <v>164</v>
      </c>
      <c r="C165" s="40" t="str">
        <f t="shared" si="4"/>
        <v>AZ164</v>
      </c>
      <c r="D165" s="41" t="s">
        <v>24</v>
      </c>
      <c r="E165" s="41">
        <v>45</v>
      </c>
      <c r="F165" s="41" t="s">
        <v>26</v>
      </c>
      <c r="G165" s="41" t="s">
        <v>559</v>
      </c>
      <c r="H165" s="41" t="s">
        <v>614</v>
      </c>
      <c r="I165" s="41" t="s">
        <v>281</v>
      </c>
      <c r="J165" s="41" t="s">
        <v>614</v>
      </c>
      <c r="K165" s="41" t="s">
        <v>558</v>
      </c>
      <c r="L165" s="41" t="s">
        <v>107</v>
      </c>
    </row>
    <row r="166" spans="1:12">
      <c r="A166" s="41" t="s">
        <v>604</v>
      </c>
      <c r="B166" s="40">
        <f t="shared" si="5"/>
        <v>165</v>
      </c>
      <c r="C166" s="40" t="str">
        <f t="shared" si="4"/>
        <v>AZ165</v>
      </c>
      <c r="D166" s="41" t="s">
        <v>24</v>
      </c>
      <c r="E166" s="41">
        <v>74</v>
      </c>
      <c r="F166" s="41" t="s">
        <v>26</v>
      </c>
      <c r="G166" s="41" t="s">
        <v>562</v>
      </c>
      <c r="H166" s="41" t="s">
        <v>629</v>
      </c>
      <c r="I166" s="41" t="s">
        <v>281</v>
      </c>
      <c r="J166" s="41" t="s">
        <v>614</v>
      </c>
      <c r="K166" s="41" t="s">
        <v>558</v>
      </c>
      <c r="L166" s="41" t="s">
        <v>519</v>
      </c>
    </row>
    <row r="167" spans="1:12">
      <c r="A167" s="41" t="s">
        <v>604</v>
      </c>
      <c r="B167" s="40">
        <f t="shared" si="5"/>
        <v>166</v>
      </c>
      <c r="C167" s="40" t="str">
        <f t="shared" si="4"/>
        <v>AZ166</v>
      </c>
      <c r="D167" s="41" t="s">
        <v>39</v>
      </c>
      <c r="E167" s="41">
        <v>17</v>
      </c>
      <c r="F167" s="41" t="s">
        <v>519</v>
      </c>
      <c r="G167" s="41" t="s">
        <v>564</v>
      </c>
      <c r="H167" s="41" t="s">
        <v>614</v>
      </c>
      <c r="I167" s="41" t="s">
        <v>281</v>
      </c>
      <c r="J167" s="41" t="s">
        <v>614</v>
      </c>
      <c r="K167" s="41" t="s">
        <v>558</v>
      </c>
      <c r="L167" s="41" t="s">
        <v>530</v>
      </c>
    </row>
    <row r="168" spans="1:12">
      <c r="A168" s="41" t="s">
        <v>604</v>
      </c>
      <c r="B168" s="40">
        <f t="shared" si="5"/>
        <v>167</v>
      </c>
      <c r="C168" s="40" t="str">
        <f t="shared" si="4"/>
        <v>AZ167</v>
      </c>
      <c r="D168" s="41" t="s">
        <v>39</v>
      </c>
      <c r="E168" s="41">
        <v>47</v>
      </c>
      <c r="F168" s="41" t="s">
        <v>26</v>
      </c>
      <c r="G168" s="41" t="s">
        <v>564</v>
      </c>
      <c r="H168" s="41" t="s">
        <v>614</v>
      </c>
      <c r="I168" s="41" t="s">
        <v>281</v>
      </c>
      <c r="J168" s="41" t="s">
        <v>614</v>
      </c>
      <c r="K168" s="41" t="s">
        <v>558</v>
      </c>
      <c r="L168" s="41" t="s">
        <v>107</v>
      </c>
    </row>
    <row r="169" spans="1:12">
      <c r="A169" s="41" t="s">
        <v>605</v>
      </c>
      <c r="B169" s="40">
        <f t="shared" si="5"/>
        <v>168</v>
      </c>
      <c r="C169" s="40" t="str">
        <f t="shared" si="4"/>
        <v>BA168</v>
      </c>
      <c r="D169" s="41" t="s">
        <v>39</v>
      </c>
      <c r="E169" s="41">
        <v>36</v>
      </c>
      <c r="F169" s="41" t="s">
        <v>26</v>
      </c>
      <c r="G169" s="41" t="s">
        <v>27</v>
      </c>
      <c r="H169" s="41" t="s">
        <v>614</v>
      </c>
      <c r="I169" s="41" t="s">
        <v>284</v>
      </c>
      <c r="J169" s="41" t="s">
        <v>614</v>
      </c>
      <c r="K169" s="41" t="s">
        <v>231</v>
      </c>
      <c r="L169" s="41" t="s">
        <v>30</v>
      </c>
    </row>
    <row r="170" spans="1:12">
      <c r="A170" s="41" t="s">
        <v>605</v>
      </c>
      <c r="B170" s="40">
        <f t="shared" si="5"/>
        <v>169</v>
      </c>
      <c r="C170" s="40" t="str">
        <f t="shared" si="4"/>
        <v>BA169</v>
      </c>
      <c r="D170" s="41" t="s">
        <v>24</v>
      </c>
      <c r="E170" s="41">
        <v>35</v>
      </c>
      <c r="F170" s="41" t="s">
        <v>26</v>
      </c>
      <c r="G170" s="41" t="s">
        <v>564</v>
      </c>
      <c r="H170" s="41" t="s">
        <v>614</v>
      </c>
      <c r="I170" s="41" t="s">
        <v>284</v>
      </c>
      <c r="J170" s="41" t="s">
        <v>614</v>
      </c>
      <c r="K170" s="41" t="s">
        <v>558</v>
      </c>
      <c r="L170" s="41" t="s">
        <v>30</v>
      </c>
    </row>
    <row r="171" spans="1:12">
      <c r="A171" s="41" t="s">
        <v>605</v>
      </c>
      <c r="B171" s="40">
        <f t="shared" si="5"/>
        <v>170</v>
      </c>
      <c r="C171" s="40" t="str">
        <f t="shared" si="4"/>
        <v>BA170</v>
      </c>
      <c r="D171" s="41" t="s">
        <v>39</v>
      </c>
      <c r="E171" s="41">
        <v>3</v>
      </c>
      <c r="F171" s="41" t="s">
        <v>519</v>
      </c>
      <c r="G171" s="41" t="s">
        <v>277</v>
      </c>
      <c r="H171" s="41" t="s">
        <v>614</v>
      </c>
      <c r="I171" s="41" t="s">
        <v>284</v>
      </c>
      <c r="J171" s="41" t="s">
        <v>614</v>
      </c>
      <c r="K171" s="41" t="s">
        <v>231</v>
      </c>
      <c r="L171" s="41" t="s">
        <v>519</v>
      </c>
    </row>
    <row r="172" spans="1:12">
      <c r="A172" s="41" t="s">
        <v>606</v>
      </c>
      <c r="B172" s="40">
        <f t="shared" si="5"/>
        <v>171</v>
      </c>
      <c r="C172" s="40" t="str">
        <f t="shared" si="4"/>
        <v>BC171</v>
      </c>
      <c r="D172" s="41" t="s">
        <v>39</v>
      </c>
      <c r="E172" s="41">
        <v>48</v>
      </c>
      <c r="F172" s="41" t="s">
        <v>26</v>
      </c>
      <c r="G172" s="41" t="s">
        <v>564</v>
      </c>
      <c r="H172" s="41" t="s">
        <v>614</v>
      </c>
      <c r="I172" s="41" t="s">
        <v>281</v>
      </c>
      <c r="J172" s="41" t="s">
        <v>614</v>
      </c>
      <c r="K172" s="41" t="s">
        <v>139</v>
      </c>
      <c r="L172" s="41" t="s">
        <v>530</v>
      </c>
    </row>
    <row r="173" spans="1:12">
      <c r="A173" s="41" t="s">
        <v>606</v>
      </c>
      <c r="B173" s="40">
        <f t="shared" si="5"/>
        <v>172</v>
      </c>
      <c r="C173" s="40" t="str">
        <f t="shared" si="4"/>
        <v>BC172</v>
      </c>
      <c r="D173" s="41" t="s">
        <v>24</v>
      </c>
      <c r="E173" s="41">
        <v>45</v>
      </c>
      <c r="F173" s="41" t="s">
        <v>26</v>
      </c>
      <c r="G173" s="41" t="s">
        <v>570</v>
      </c>
      <c r="H173" s="41" t="s">
        <v>616</v>
      </c>
      <c r="I173" s="41" t="s">
        <v>281</v>
      </c>
      <c r="J173" s="41" t="s">
        <v>614</v>
      </c>
      <c r="K173" s="41" t="s">
        <v>571</v>
      </c>
      <c r="L173" s="41" t="s">
        <v>30</v>
      </c>
    </row>
    <row r="174" spans="1:12">
      <c r="A174" s="41" t="s">
        <v>606</v>
      </c>
      <c r="B174" s="40">
        <f t="shared" si="5"/>
        <v>173</v>
      </c>
      <c r="C174" s="40" t="str">
        <f t="shared" si="4"/>
        <v>BC173</v>
      </c>
      <c r="D174" s="41" t="s">
        <v>39</v>
      </c>
      <c r="E174" s="41">
        <v>19</v>
      </c>
      <c r="F174" s="41" t="s">
        <v>518</v>
      </c>
      <c r="G174" s="41" t="s">
        <v>564</v>
      </c>
      <c r="H174" s="41" t="s">
        <v>614</v>
      </c>
      <c r="I174" s="41" t="s">
        <v>284</v>
      </c>
      <c r="J174" s="41" t="s">
        <v>614</v>
      </c>
      <c r="K174" s="41" t="s">
        <v>139</v>
      </c>
      <c r="L174" s="41" t="s">
        <v>107</v>
      </c>
    </row>
    <row r="177" spans="4:12">
      <c r="D177" t="str" cm="1">
        <f t="array" ref="D177:D179">_xlfn.UNIQUE(D2:D174)</f>
        <v>Female</v>
      </c>
      <c r="E177" cm="1">
        <f t="array" ref="E177:E244">_xlfn.UNIQUE(E2:E174)</f>
        <v>45</v>
      </c>
      <c r="F177" t="str" cm="1">
        <f t="array" ref="F177:F185">_xlfn.UNIQUE(F2:F174)</f>
        <v>Married</v>
      </c>
      <c r="G177" t="str" cm="1">
        <f t="array" ref="G177:G210">_xlfn.UNIQUE(G2:G174)</f>
        <v>Mumbai</v>
      </c>
      <c r="H177" t="str" cm="1">
        <f t="array" ref="H177:H193">_xlfn.UNIQUE(H2:H174)</f>
        <v>MH</v>
      </c>
      <c r="I177" t="str" cm="1">
        <f t="array" ref="I177:I237">_xlfn.UNIQUE(I2:I174)</f>
        <v>New Delhi</v>
      </c>
      <c r="J177" t="str" cm="1">
        <f t="array" ref="J177:J199">_xlfn.UNIQUE(J2:J174)</f>
        <v>DL</v>
      </c>
      <c r="K177" t="str" cm="1">
        <f t="array" ref="K177:K198">_xlfn.UNIQUE(K2:K174)</f>
        <v>Malayalam</v>
      </c>
      <c r="L177" t="str" cm="1">
        <f t="array" ref="L177:L200">_xlfn.UNIQUE(L2:L174)</f>
        <v>Masters</v>
      </c>
    </row>
    <row r="178" spans="4:12">
      <c r="D178" t="str">
        <v>Male</v>
      </c>
      <c r="E178">
        <v>47</v>
      </c>
      <c r="F178" t="str">
        <v>Unmarried</v>
      </c>
      <c r="G178" t="str">
        <v>New Delhi</v>
      </c>
      <c r="H178" t="str">
        <v>DL</v>
      </c>
      <c r="I178" t="str">
        <v>Ranchi</v>
      </c>
      <c r="J178" t="str">
        <v>JH</v>
      </c>
      <c r="K178" t="str">
        <v>Hindi</v>
      </c>
      <c r="L178" t="str">
        <v>Secondary</v>
      </c>
    </row>
    <row r="179" spans="4:12">
      <c r="D179" t="str">
        <v xml:space="preserve">Female </v>
      </c>
      <c r="E179">
        <v>18</v>
      </c>
      <c r="F179" t="str">
        <v xml:space="preserve">Married </v>
      </c>
      <c r="G179" t="str">
        <v>Bangalore</v>
      </c>
      <c r="H179" t="str">
        <v>KA</v>
      </c>
      <c r="I179" t="str">
        <v>Chandigarh</v>
      </c>
      <c r="J179" t="str">
        <v>PB</v>
      </c>
      <c r="K179" t="str">
        <v>Marathi</v>
      </c>
      <c r="L179" t="str">
        <v>Higher Secondary</v>
      </c>
    </row>
    <row r="180" spans="4:12">
      <c r="E180">
        <v>22</v>
      </c>
      <c r="F180" t="str">
        <v xml:space="preserve">Unmarried </v>
      </c>
      <c r="G180" t="str">
        <v>London</v>
      </c>
      <c r="H180" t="str">
        <v>United Kingdom</v>
      </c>
      <c r="I180" t="str">
        <v>Kolhapur</v>
      </c>
      <c r="J180" t="str">
        <v>MH</v>
      </c>
      <c r="K180" t="str">
        <v>Tamil</v>
      </c>
      <c r="L180" t="str">
        <v>Upper Primary</v>
      </c>
    </row>
    <row r="181" spans="4:12">
      <c r="E181">
        <v>50</v>
      </c>
      <c r="F181" t="str">
        <v>Widowed</v>
      </c>
      <c r="G181" t="str">
        <v>Chennai</v>
      </c>
      <c r="H181" t="str">
        <v>TN</v>
      </c>
      <c r="I181" t="str">
        <v>Raigad</v>
      </c>
      <c r="J181" t="str">
        <v>KA</v>
      </c>
      <c r="K181" t="str">
        <v>English</v>
      </c>
      <c r="L181" t="str">
        <v>Post-Graduate</v>
      </c>
    </row>
    <row r="182" spans="4:12">
      <c r="E182">
        <v>62</v>
      </c>
      <c r="F182" t="str">
        <v xml:space="preserve">Widowed </v>
      </c>
      <c r="G182" t="str">
        <v>Thrissur</v>
      </c>
      <c r="H182" t="str">
        <v>KL</v>
      </c>
      <c r="I182" t="str">
        <v>Mumbai</v>
      </c>
      <c r="J182" t="str">
        <v>TN</v>
      </c>
      <c r="K182" t="str">
        <v>Telugu</v>
      </c>
      <c r="L182" t="str">
        <v>Under Graduate</v>
      </c>
    </row>
    <row r="183" spans="4:12">
      <c r="E183">
        <v>52</v>
      </c>
      <c r="F183" t="str">
        <v>Single</v>
      </c>
      <c r="G183" t="str">
        <v>Delhi</v>
      </c>
      <c r="H183" t="str">
        <v>JH</v>
      </c>
      <c r="I183" t="str">
        <v>Bangalore</v>
      </c>
      <c r="J183" t="str">
        <v>TS</v>
      </c>
      <c r="K183" t="str">
        <v>Bhojpuri</v>
      </c>
      <c r="L183" t="str">
        <v>Primary Level</v>
      </c>
    </row>
    <row r="184" spans="4:12">
      <c r="E184">
        <v>42</v>
      </c>
      <c r="F184" t="str">
        <v>Divorced</v>
      </c>
      <c r="G184" t="str">
        <v>Ranchi</v>
      </c>
      <c r="H184" t="str">
        <v>RJ</v>
      </c>
      <c r="I184" t="str">
        <v>Chennai</v>
      </c>
      <c r="J184" t="str">
        <v>AP</v>
      </c>
      <c r="K184" t="str">
        <v>Telugu/Kannada</v>
      </c>
      <c r="L184" t="str">
        <v>NA</v>
      </c>
    </row>
    <row r="185" spans="4:12">
      <c r="E185">
        <v>17</v>
      </c>
      <c r="F185" t="str">
        <v>N.A</v>
      </c>
      <c r="G185" t="str">
        <v>Coimbatore</v>
      </c>
      <c r="H185" t="str">
        <v>United Arab Emirates</v>
      </c>
      <c r="I185" t="str">
        <v>Thanjavor</v>
      </c>
      <c r="J185" t="str">
        <v>UP</v>
      </c>
      <c r="K185" t="str">
        <v>Marwadi</v>
      </c>
      <c r="L185" t="str">
        <v>Bachelor's</v>
      </c>
    </row>
    <row r="186" spans="4:12">
      <c r="E186">
        <v>70</v>
      </c>
      <c r="G186" t="str">
        <v>Chittorgarh</v>
      </c>
      <c r="H186" t="str">
        <v>Spain</v>
      </c>
      <c r="I186" t="str">
        <v>Thanjavur</v>
      </c>
      <c r="J186" t="str">
        <v>RJ</v>
      </c>
      <c r="K186" t="str">
        <v xml:space="preserve">Marathi </v>
      </c>
      <c r="L186" t="str">
        <v>Master's</v>
      </c>
    </row>
    <row r="187" spans="4:12">
      <c r="E187">
        <v>25</v>
      </c>
      <c r="G187" t="str">
        <v>Dubai</v>
      </c>
      <c r="H187" t="str">
        <v>HR</v>
      </c>
      <c r="I187" t="str">
        <v>Secunderabad</v>
      </c>
      <c r="J187" t="str">
        <v>HR</v>
      </c>
      <c r="K187" t="str">
        <v xml:space="preserve">Kannada </v>
      </c>
      <c r="L187" t="str">
        <v>Secondary Level</v>
      </c>
    </row>
    <row r="188" spans="4:12">
      <c r="E188">
        <v>32</v>
      </c>
      <c r="G188" t="str">
        <v>Jalgaon</v>
      </c>
      <c r="H188" t="str">
        <v xml:space="preserve"> MH</v>
      </c>
      <c r="I188" t="str">
        <v>Visakhapatnam</v>
      </c>
      <c r="J188" t="str">
        <v>United Kingdom</v>
      </c>
      <c r="K188" t="str">
        <v xml:space="preserve">Punjabi </v>
      </c>
      <c r="L188" t="str">
        <v xml:space="preserve">Bachelor's </v>
      </c>
    </row>
    <row r="189" spans="4:12">
      <c r="E189">
        <v>30</v>
      </c>
      <c r="G189" t="str">
        <v xml:space="preserve">Delhi </v>
      </c>
      <c r="H189" t="str">
        <v>USA</v>
      </c>
      <c r="I189" t="str">
        <v>Delhi</v>
      </c>
      <c r="J189" t="str">
        <v>KL</v>
      </c>
      <c r="K189" t="str">
        <v xml:space="preserve">English </v>
      </c>
      <c r="L189" t="str">
        <v xml:space="preserve">Master's </v>
      </c>
    </row>
    <row r="190" spans="4:12">
      <c r="E190">
        <v>65</v>
      </c>
      <c r="G190" t="str">
        <v>Pune</v>
      </c>
      <c r="H190" t="str">
        <v xml:space="preserve"> KL</v>
      </c>
      <c r="I190" t="str">
        <v>Lucknow</v>
      </c>
      <c r="J190" t="str">
        <v>Pakisthan</v>
      </c>
      <c r="K190" t="str">
        <v>Punjabi</v>
      </c>
      <c r="L190" t="str">
        <v>School</v>
      </c>
    </row>
    <row r="191" spans="4:12">
      <c r="E191">
        <v>20</v>
      </c>
      <c r="G191" t="str">
        <v xml:space="preserve">Pune </v>
      </c>
      <c r="H191" t="str">
        <v xml:space="preserve"> TS</v>
      </c>
      <c r="I191" t="str">
        <v>Coimbatore</v>
      </c>
      <c r="J191" t="str">
        <v>MP</v>
      </c>
      <c r="K191" t="str">
        <v>Konkani</v>
      </c>
      <c r="L191" t="str">
        <v xml:space="preserve">Higher Secondary </v>
      </c>
    </row>
    <row r="192" spans="4:12">
      <c r="E192">
        <v>39</v>
      </c>
      <c r="G192" t="str">
        <v xml:space="preserve">London </v>
      </c>
      <c r="H192" t="str">
        <v>GJ</v>
      </c>
      <c r="I192" t="str">
        <v>Trichy</v>
      </c>
      <c r="J192" t="str">
        <v>UK</v>
      </c>
      <c r="K192" t="str">
        <v xml:space="preserve">Konkani </v>
      </c>
      <c r="L192" t="str">
        <v xml:space="preserve">Secondary </v>
      </c>
    </row>
    <row r="193" spans="5:12">
      <c r="E193">
        <v>53</v>
      </c>
      <c r="G193" t="str">
        <v xml:space="preserve">Bangalore </v>
      </c>
      <c r="H193" t="str">
        <v>Kenya</v>
      </c>
      <c r="I193" t="str">
        <v>Erode</v>
      </c>
      <c r="J193" t="str">
        <v xml:space="preserve"> MH</v>
      </c>
      <c r="K193" t="str">
        <v>Gujarati</v>
      </c>
      <c r="L193" t="str">
        <v xml:space="preserve">NA </v>
      </c>
    </row>
    <row r="194" spans="5:12">
      <c r="E194">
        <v>24</v>
      </c>
      <c r="G194" t="str">
        <v xml:space="preserve">Barcelona </v>
      </c>
      <c r="I194" t="str">
        <v>Chittor</v>
      </c>
      <c r="J194" t="str">
        <v xml:space="preserve"> GA</v>
      </c>
      <c r="K194" t="str">
        <v>Malyalam</v>
      </c>
      <c r="L194" t="str">
        <v>Undergraduate</v>
      </c>
    </row>
    <row r="195" spans="5:12">
      <c r="E195">
        <v>43</v>
      </c>
      <c r="G195" t="str">
        <v xml:space="preserve">Mumbai </v>
      </c>
      <c r="I195" t="str">
        <v>Bhilwara</v>
      </c>
      <c r="J195" t="str">
        <v xml:space="preserve"> TS</v>
      </c>
      <c r="K195" t="str">
        <v xml:space="preserve">Tamil </v>
      </c>
      <c r="L195" t="str">
        <v>High School</v>
      </c>
    </row>
    <row r="196" spans="5:12">
      <c r="E196">
        <v>38</v>
      </c>
      <c r="G196" t="str">
        <v>Kollam</v>
      </c>
      <c r="I196" t="str">
        <v>Bhilwada</v>
      </c>
      <c r="J196" t="str">
        <v xml:space="preserve"> KL</v>
      </c>
      <c r="K196" t="str">
        <v>Sindhi</v>
      </c>
      <c r="L196" t="str">
        <v>Primary School</v>
      </c>
    </row>
    <row r="197" spans="5:12">
      <c r="E197">
        <v>19</v>
      </c>
      <c r="G197" t="str">
        <v xml:space="preserve">Kollam </v>
      </c>
      <c r="I197" t="str">
        <v>Jaipur</v>
      </c>
      <c r="J197" t="str">
        <v xml:space="preserve"> AP</v>
      </c>
      <c r="K197" t="str">
        <v xml:space="preserve">Gujarati </v>
      </c>
      <c r="L197" t="str">
        <v>Doctoral</v>
      </c>
    </row>
    <row r="198" spans="5:12">
      <c r="E198">
        <v>23</v>
      </c>
      <c r="G198" t="str">
        <v>Gurgaon</v>
      </c>
      <c r="I198" t="str">
        <v>Jalgaon</v>
      </c>
      <c r="J198" t="str">
        <v xml:space="preserve"> WB</v>
      </c>
      <c r="K198" t="str">
        <v>Kannada</v>
      </c>
      <c r="L198" t="str">
        <v>Secondary School</v>
      </c>
    </row>
    <row r="199" spans="5:12">
      <c r="E199">
        <v>7</v>
      </c>
      <c r="G199" t="str">
        <v>Mysore</v>
      </c>
      <c r="I199" t="str">
        <v>Dhule</v>
      </c>
      <c r="J199" t="str">
        <v>NA</v>
      </c>
      <c r="L199" t="str">
        <v>High School Graduate</v>
      </c>
    </row>
    <row r="200" spans="5:12">
      <c r="E200">
        <v>4</v>
      </c>
      <c r="G200" t="str">
        <v>Nashik</v>
      </c>
      <c r="I200" t="str">
        <v xml:space="preserve">Jalgaon </v>
      </c>
      <c r="L200" t="str">
        <v>N.A</v>
      </c>
    </row>
    <row r="201" spans="5:12">
      <c r="E201">
        <v>2</v>
      </c>
      <c r="G201" t="str">
        <v>New York</v>
      </c>
      <c r="I201" t="str">
        <v>Bhiwani</v>
      </c>
    </row>
    <row r="202" spans="5:12">
      <c r="E202">
        <v>35</v>
      </c>
      <c r="G202" t="str">
        <v>Ernakulam</v>
      </c>
      <c r="I202" t="str">
        <v>Thane</v>
      </c>
    </row>
    <row r="203" spans="5:12">
      <c r="E203">
        <v>31</v>
      </c>
      <c r="G203" t="str">
        <v>Hyderabad</v>
      </c>
      <c r="I203" t="str">
        <v>Jalna</v>
      </c>
    </row>
    <row r="204" spans="5:12">
      <c r="E204">
        <v>9</v>
      </c>
      <c r="G204" t="str">
        <v>Baroda</v>
      </c>
      <c r="I204" t="str">
        <v xml:space="preserve">Solapur </v>
      </c>
    </row>
    <row r="205" spans="5:12">
      <c r="E205">
        <v>14</v>
      </c>
      <c r="G205" t="str">
        <v>Ahmedabad</v>
      </c>
      <c r="I205" t="str">
        <v>Pune</v>
      </c>
    </row>
    <row r="206" spans="5:12">
      <c r="E206">
        <v>44</v>
      </c>
      <c r="G206" t="str">
        <v>Anand</v>
      </c>
      <c r="I206" t="str">
        <v xml:space="preserve">Hubli </v>
      </c>
    </row>
    <row r="207" spans="5:12">
      <c r="E207">
        <v>46</v>
      </c>
      <c r="G207" t="str">
        <v>Wardha</v>
      </c>
      <c r="I207" t="str">
        <v xml:space="preserve">Chandigarh </v>
      </c>
    </row>
    <row r="208" spans="5:12">
      <c r="E208">
        <v>58</v>
      </c>
      <c r="G208" t="str">
        <v>Nairobi</v>
      </c>
      <c r="I208" t="str">
        <v xml:space="preserve">London </v>
      </c>
    </row>
    <row r="209" spans="5:9">
      <c r="E209">
        <v>54</v>
      </c>
      <c r="G209" t="str">
        <v>Solapur</v>
      </c>
      <c r="I209" t="str">
        <v xml:space="preserve">Belgaum </v>
      </c>
    </row>
    <row r="210" spans="5:9">
      <c r="E210">
        <v>15</v>
      </c>
      <c r="G210" t="str">
        <v>Hubli</v>
      </c>
      <c r="I210" t="str">
        <v>Karnal</v>
      </c>
    </row>
    <row r="211" spans="5:9">
      <c r="E211">
        <v>34</v>
      </c>
      <c r="I211" t="str">
        <v xml:space="preserve">Trichy </v>
      </c>
    </row>
    <row r="212" spans="5:9">
      <c r="E212">
        <v>10</v>
      </c>
      <c r="I212" t="str">
        <v xml:space="preserve">Bangalore </v>
      </c>
    </row>
    <row r="213" spans="5:9">
      <c r="E213">
        <v>78</v>
      </c>
      <c r="I213" t="str">
        <v>Lahore</v>
      </c>
    </row>
    <row r="214" spans="5:9">
      <c r="E214">
        <v>73</v>
      </c>
      <c r="I214" t="str">
        <v>Palakkad</v>
      </c>
    </row>
    <row r="215" spans="5:9">
      <c r="E215">
        <v>48</v>
      </c>
      <c r="I215" t="str">
        <v>Ernakulam</v>
      </c>
    </row>
    <row r="216" spans="5:9">
      <c r="E216">
        <v>27</v>
      </c>
      <c r="I216" t="str">
        <v xml:space="preserve">Kollam </v>
      </c>
    </row>
    <row r="217" spans="5:9">
      <c r="E217">
        <v>1</v>
      </c>
      <c r="I217" t="str">
        <v>Kottayam</v>
      </c>
    </row>
    <row r="218" spans="5:9">
      <c r="E218">
        <v>33</v>
      </c>
      <c r="I218" t="str">
        <v>Kollam</v>
      </c>
    </row>
    <row r="219" spans="5:9">
      <c r="E219">
        <v>5</v>
      </c>
      <c r="I219" t="str">
        <v>Indore</v>
      </c>
    </row>
    <row r="220" spans="5:9">
      <c r="E220">
        <v>57</v>
      </c>
      <c r="I220" t="str">
        <v>Dehradun</v>
      </c>
    </row>
    <row r="221" spans="5:9">
      <c r="E221">
        <v>26</v>
      </c>
      <c r="I221" t="str">
        <v>Gurgaon</v>
      </c>
    </row>
    <row r="222" spans="5:9">
      <c r="E222">
        <v>21</v>
      </c>
      <c r="I222" t="str">
        <v>Thrissur</v>
      </c>
    </row>
    <row r="223" spans="5:9">
      <c r="E223">
        <v>63</v>
      </c>
      <c r="I223" t="str">
        <v>Kannur</v>
      </c>
    </row>
    <row r="224" spans="5:9">
      <c r="E224">
        <v>72</v>
      </c>
      <c r="I224" t="str">
        <v>Nashik</v>
      </c>
    </row>
    <row r="225" spans="5:9">
      <c r="E225">
        <v>51</v>
      </c>
      <c r="I225" t="str">
        <v>Aurangabad</v>
      </c>
    </row>
    <row r="226" spans="5:9">
      <c r="E226">
        <v>59</v>
      </c>
      <c r="I226" t="str">
        <v>Panaji</v>
      </c>
    </row>
    <row r="227" spans="5:9">
      <c r="E227">
        <v>6</v>
      </c>
      <c r="I227" t="str">
        <v>Hyderabad</v>
      </c>
    </row>
    <row r="228" spans="5:9">
      <c r="E228">
        <v>41</v>
      </c>
      <c r="I228" t="str">
        <v>Thiruvananthapuram</v>
      </c>
    </row>
    <row r="229" spans="5:9">
      <c r="E229">
        <v>12</v>
      </c>
      <c r="I229" t="str">
        <v>Angamaly</v>
      </c>
    </row>
    <row r="230" spans="5:9">
      <c r="E230">
        <v>40</v>
      </c>
      <c r="I230" t="str">
        <v>Ongole</v>
      </c>
    </row>
    <row r="231" spans="5:9">
      <c r="E231">
        <v>80</v>
      </c>
      <c r="I231" t="str">
        <v>Guntur</v>
      </c>
    </row>
    <row r="232" spans="5:9">
      <c r="E232">
        <v>76</v>
      </c>
      <c r="I232" t="str">
        <v>Kolkata</v>
      </c>
    </row>
    <row r="233" spans="5:9">
      <c r="E233">
        <v>49</v>
      </c>
      <c r="I233" t="str">
        <v>Kakinada</v>
      </c>
    </row>
    <row r="234" spans="5:9">
      <c r="E234">
        <v>16</v>
      </c>
      <c r="I234" t="str">
        <v>Tadikonda</v>
      </c>
    </row>
    <row r="235" spans="5:9">
      <c r="E235">
        <v>60</v>
      </c>
      <c r="I235" t="str">
        <v xml:space="preserve">Mumbai </v>
      </c>
    </row>
    <row r="236" spans="5:9">
      <c r="E236">
        <v>28</v>
      </c>
      <c r="I236" t="str">
        <v>Eindhoven</v>
      </c>
    </row>
    <row r="237" spans="5:9">
      <c r="E237">
        <v>36</v>
      </c>
      <c r="I237" t="str">
        <v xml:space="preserve">Pune </v>
      </c>
    </row>
    <row r="238" spans="5:9">
      <c r="E238">
        <v>29</v>
      </c>
    </row>
    <row r="239" spans="5:9">
      <c r="E239">
        <v>55</v>
      </c>
    </row>
    <row r="240" spans="5:9">
      <c r="E240">
        <v>1.5</v>
      </c>
    </row>
    <row r="241" spans="5:5">
      <c r="E241">
        <v>37</v>
      </c>
    </row>
    <row r="242" spans="5:5">
      <c r="E242">
        <v>13</v>
      </c>
    </row>
    <row r="243" spans="5:5">
      <c r="E243">
        <v>74</v>
      </c>
    </row>
    <row r="244" spans="5:5">
      <c r="E244">
        <v>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245F3-E2D3-48D4-B1BA-58F34D764C0F}">
  <dimension ref="A1:F16"/>
  <sheetViews>
    <sheetView workbookViewId="0">
      <selection activeCell="D26" sqref="D26"/>
    </sheetView>
  </sheetViews>
  <sheetFormatPr defaultRowHeight="14.6"/>
  <cols>
    <col min="2" max="2" width="13.61328125" customWidth="1"/>
    <col min="4" max="4" width="13.4609375" customWidth="1"/>
    <col min="5" max="5" width="15.53515625" customWidth="1"/>
  </cols>
  <sheetData>
    <row r="1" spans="1:6" ht="27.45" thickBot="1">
      <c r="A1" s="44" t="s">
        <v>655</v>
      </c>
      <c r="B1" s="45" t="s">
        <v>656</v>
      </c>
      <c r="C1" s="44" t="s">
        <v>657</v>
      </c>
      <c r="D1" s="45" t="s">
        <v>658</v>
      </c>
      <c r="E1" s="44" t="s">
        <v>659</v>
      </c>
      <c r="F1" s="45" t="s">
        <v>660</v>
      </c>
    </row>
    <row r="2" spans="1:6">
      <c r="A2" s="48" t="s">
        <v>661</v>
      </c>
      <c r="B2" s="46">
        <v>2</v>
      </c>
      <c r="C2" s="49">
        <v>80</v>
      </c>
      <c r="D2" s="50" t="s">
        <v>662</v>
      </c>
      <c r="E2" s="49" t="s">
        <v>662</v>
      </c>
      <c r="F2" s="50" t="s">
        <v>662</v>
      </c>
    </row>
    <row r="3" spans="1:6">
      <c r="A3" s="48" t="s">
        <v>663</v>
      </c>
      <c r="B3" s="47">
        <v>2000000</v>
      </c>
      <c r="C3" s="49">
        <v>80</v>
      </c>
      <c r="D3" s="51">
        <v>7856100000</v>
      </c>
      <c r="E3" s="52">
        <v>7856100002</v>
      </c>
      <c r="F3" s="50">
        <v>0</v>
      </c>
    </row>
    <row r="4" spans="1:6">
      <c r="A4" s="48" t="s">
        <v>664</v>
      </c>
      <c r="B4" s="47">
        <v>5000000</v>
      </c>
      <c r="C4" s="49">
        <v>80</v>
      </c>
      <c r="D4" s="51">
        <v>1137789769</v>
      </c>
      <c r="E4" s="52">
        <v>8993889771</v>
      </c>
      <c r="F4" s="50">
        <v>0.1</v>
      </c>
    </row>
    <row r="5" spans="1:6">
      <c r="A5" s="48" t="s">
        <v>665</v>
      </c>
      <c r="B5" s="47">
        <v>300000000</v>
      </c>
      <c r="C5" s="49">
        <v>80</v>
      </c>
      <c r="D5" s="51">
        <v>46025332354</v>
      </c>
      <c r="E5" s="52">
        <v>55019222125</v>
      </c>
      <c r="F5" s="50">
        <v>0.5</v>
      </c>
    </row>
    <row r="6" spans="1:6">
      <c r="A6" s="48">
        <v>1200</v>
      </c>
      <c r="B6" s="47">
        <v>450000000</v>
      </c>
      <c r="C6" s="49">
        <v>60</v>
      </c>
      <c r="D6" s="51">
        <v>26591343000</v>
      </c>
      <c r="E6" s="52">
        <v>81610565125</v>
      </c>
      <c r="F6" s="50">
        <v>0.6</v>
      </c>
    </row>
    <row r="7" spans="1:6">
      <c r="A7" s="48">
        <v>1650</v>
      </c>
      <c r="B7" s="47">
        <v>500000000</v>
      </c>
      <c r="C7" s="49">
        <v>60</v>
      </c>
      <c r="D7" s="51">
        <v>12782002453</v>
      </c>
      <c r="E7" s="52">
        <v>94392567578</v>
      </c>
      <c r="F7" s="50">
        <v>0.5</v>
      </c>
    </row>
    <row r="8" spans="1:6">
      <c r="A8" s="48">
        <v>1750</v>
      </c>
      <c r="B8" s="47">
        <v>795000000</v>
      </c>
      <c r="C8" s="49">
        <v>50</v>
      </c>
      <c r="D8" s="51">
        <v>3171931513</v>
      </c>
      <c r="E8" s="52">
        <v>97564499091</v>
      </c>
      <c r="F8" s="50">
        <v>0.8</v>
      </c>
    </row>
    <row r="9" spans="1:6">
      <c r="A9" s="48">
        <v>1850</v>
      </c>
      <c r="B9" s="47">
        <v>1265000000</v>
      </c>
      <c r="C9" s="49">
        <v>40</v>
      </c>
      <c r="D9" s="51">
        <v>4046240009</v>
      </c>
      <c r="E9" s="52">
        <v>101610739100</v>
      </c>
      <c r="F9" s="50">
        <v>1.2</v>
      </c>
    </row>
    <row r="10" spans="1:6">
      <c r="A10" s="48">
        <v>1900</v>
      </c>
      <c r="B10" s="47">
        <v>1656000000</v>
      </c>
      <c r="C10" s="49">
        <v>40</v>
      </c>
      <c r="D10" s="51">
        <v>2900237856</v>
      </c>
      <c r="E10" s="52">
        <v>104510976956</v>
      </c>
      <c r="F10" s="50">
        <v>1.6</v>
      </c>
    </row>
    <row r="11" spans="1:6">
      <c r="A11" s="48">
        <v>1950</v>
      </c>
      <c r="B11" s="47">
        <v>2499000000</v>
      </c>
      <c r="C11" s="49" t="s">
        <v>666</v>
      </c>
      <c r="D11" s="51">
        <v>3390198215</v>
      </c>
      <c r="E11" s="52">
        <v>107901175171</v>
      </c>
      <c r="F11" s="50">
        <v>2.2999999999999998</v>
      </c>
    </row>
    <row r="12" spans="1:6">
      <c r="A12" s="48">
        <v>2000</v>
      </c>
      <c r="B12" s="47">
        <v>6149000000</v>
      </c>
      <c r="C12" s="49">
        <v>22</v>
      </c>
      <c r="D12" s="51">
        <v>6064994884</v>
      </c>
      <c r="E12" s="52">
        <v>113966170055</v>
      </c>
      <c r="F12" s="50">
        <v>5.4</v>
      </c>
    </row>
    <row r="13" spans="1:6">
      <c r="A13" s="48">
        <v>2010</v>
      </c>
      <c r="B13" s="47">
        <v>6986000000</v>
      </c>
      <c r="C13" s="49">
        <v>20</v>
      </c>
      <c r="D13" s="51">
        <v>1364003405</v>
      </c>
      <c r="E13" s="52">
        <v>115330173460</v>
      </c>
      <c r="F13" s="50">
        <v>6.1</v>
      </c>
    </row>
    <row r="14" spans="1:6">
      <c r="A14" s="48">
        <v>2022</v>
      </c>
      <c r="B14" s="47">
        <v>7963500000</v>
      </c>
      <c r="C14" s="49">
        <v>17</v>
      </c>
      <c r="D14" s="51">
        <v>1690275115</v>
      </c>
      <c r="E14" s="52">
        <v>117020448575</v>
      </c>
      <c r="F14" s="50">
        <v>6.8</v>
      </c>
    </row>
    <row r="15" spans="1:6">
      <c r="A15" s="48">
        <v>2035</v>
      </c>
      <c r="B15" s="47">
        <v>8899000000</v>
      </c>
      <c r="C15" s="49">
        <v>16</v>
      </c>
      <c r="D15" s="51">
        <v>1758578889</v>
      </c>
      <c r="E15" s="52">
        <v>118779027464</v>
      </c>
      <c r="F15" s="50">
        <v>7.5</v>
      </c>
    </row>
    <row r="16" spans="1:6">
      <c r="A16" s="48">
        <v>2050</v>
      </c>
      <c r="B16" s="47">
        <v>9752000000</v>
      </c>
      <c r="C16" s="49">
        <v>14</v>
      </c>
      <c r="D16" s="51">
        <v>2068409608</v>
      </c>
      <c r="E16" s="52">
        <v>120847437072</v>
      </c>
      <c r="F16" s="50">
        <v>8.1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Consolidated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Shivakumar Jolad</dc:creator>
  <cp:lastModifiedBy>Shivakumar Jolad</cp:lastModifiedBy>
  <dcterms:created xsi:type="dcterms:W3CDTF">2022-12-30T07:29:55Z</dcterms:created>
  <dcterms:modified xsi:type="dcterms:W3CDTF">2023-01-05T06:55:06Z</dcterms:modified>
</cp:coreProperties>
</file>