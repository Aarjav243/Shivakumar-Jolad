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8658EAAA-1A49-4EAA-B623-D220F531B21C}" xr6:coauthVersionLast="47" xr6:coauthVersionMax="47" xr10:uidLastSave="{00000000-0000-0000-0000-000000000000}"/>
  <bookViews>
    <workbookView xWindow="-103" yWindow="-103" windowWidth="22149" windowHeight="13200" activeTab="2" xr2:uid="{C6278159-EEDC-4DB9-AC2A-EC997587D3FD}"/>
  </bookViews>
  <sheets>
    <sheet name="Sheet1" sheetId="1" r:id="rId1"/>
    <sheet name="Standardized" sheetId="2" r:id="rId2"/>
    <sheet name="Sheet2" sheetId="4" r:id="rId3"/>
    <sheet name="Exampl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3" l="1"/>
  <c r="H26" i="3"/>
  <c r="F26" i="3"/>
  <c r="E26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H4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/>
  <c r="C26" i="3"/>
  <c r="D26" i="3"/>
  <c r="B26" i="3"/>
</calcChain>
</file>

<file path=xl/sharedStrings.xml><?xml version="1.0" encoding="utf-8"?>
<sst xmlns="http://schemas.openxmlformats.org/spreadsheetml/2006/main" count="709" uniqueCount="94">
  <si>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</si>
  <si>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</si>
  <si>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</si>
  <si>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</si>
  <si>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</si>
  <si>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</si>
  <si>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</si>
  <si>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</si>
  <si>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</si>
  <si>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</si>
  <si>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</si>
  <si>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</si>
  <si>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</si>
  <si>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</si>
  <si>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</si>
  <si>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</si>
  <si>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</si>
  <si>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</si>
  <si>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</si>
  <si>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</si>
  <si>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</si>
  <si>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</si>
  <si>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</si>
  <si>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</si>
  <si>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</si>
  <si>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</si>
  <si>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</si>
  <si>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</si>
  <si>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</si>
  <si>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</si>
  <si>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</si>
  <si>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</si>
  <si>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Estimates</t>
  </si>
  <si>
    <t>WORLD</t>
  </si>
  <si>
    <t/>
  </si>
  <si>
    <t>World</t>
  </si>
  <si>
    <t>Sub-Saharan Africa</t>
  </si>
  <si>
    <t>b</t>
  </si>
  <si>
    <t>SDG region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</si>
  <si>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</si>
  <si>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</si>
  <si>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</si>
  <si>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</si>
  <si>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</si>
  <si>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</si>
  <si>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</si>
  <si>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More developed regions</t>
  </si>
  <si>
    <t>d</t>
  </si>
  <si>
    <t>Development Group</t>
  </si>
  <si>
    <t>Less developed regions</t>
  </si>
  <si>
    <t>e</t>
  </si>
  <si>
    <t>Least developed countries</t>
  </si>
  <si>
    <t>f</t>
  </si>
  <si>
    <t>Less developed regions, excluding least developed countries</t>
  </si>
  <si>
    <t>g</t>
  </si>
  <si>
    <t>Less developed regions, excluding China</t>
  </si>
  <si>
    <t>Land-locked Developing Countries (LLDC)</t>
  </si>
  <si>
    <t>h</t>
  </si>
  <si>
    <t>Special other</t>
  </si>
  <si>
    <t>Small Island Developing States (SIDS)</t>
  </si>
  <si>
    <t>i</t>
  </si>
  <si>
    <t>High-income countries</t>
  </si>
  <si>
    <t>j</t>
  </si>
  <si>
    <t>Income Group</t>
  </si>
  <si>
    <t>Middle-income countries</t>
  </si>
  <si>
    <t>Upper-middle-income countries</t>
  </si>
  <si>
    <t>Lower-middle-income countries</t>
  </si>
  <si>
    <t>Low-income countries</t>
  </si>
  <si>
    <t>World Population Prospects 2022</t>
  </si>
  <si>
    <t>Total population (both sexes combined) by five-year age group, region, subregion and country, annually for 1950-2100 (thousands)</t>
  </si>
  <si>
    <t>No income group available</t>
  </si>
  <si>
    <t xml:space="preserve"> Male population by five-year age group, region, subregion and country, annually for 1950-2100 (thousands)</t>
  </si>
  <si>
    <t>Male population by five-year age group (thousands)</t>
  </si>
  <si>
    <t>Female population by five-year age group (thousands)</t>
  </si>
  <si>
    <t>TOTAL</t>
  </si>
  <si>
    <t>Age</t>
  </si>
  <si>
    <t>MALE</t>
  </si>
  <si>
    <t>FEMALE</t>
  </si>
  <si>
    <t>POPULATION IN '000</t>
  </si>
  <si>
    <t>SEX RATIO (M/F*100)</t>
  </si>
  <si>
    <t>REGIONS</t>
  </si>
  <si>
    <t>DEVELOPMENTAL STAGE</t>
  </si>
  <si>
    <t>INCOME LEVEL</t>
  </si>
  <si>
    <t>TOTAL POPULATION ('000- thousands)- MALE+ FEMALE</t>
  </si>
  <si>
    <t>MALE POPULATION ('000- thousands)</t>
  </si>
  <si>
    <t>FEMALE POPULATION ('000- thousands)</t>
  </si>
  <si>
    <t>PER-TOTAL</t>
  </si>
  <si>
    <t>PER_MALE</t>
  </si>
  <si>
    <t>PER-FEMALE</t>
  </si>
  <si>
    <t>Total</t>
  </si>
  <si>
    <t>Male</t>
  </si>
  <si>
    <t>Female</t>
  </si>
  <si>
    <t>Region</t>
  </si>
  <si>
    <t>Sub 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</si>
</sst>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;\-#\ ###\ ###\ ##0;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4"/>
    </xf>
    <xf numFmtId="0" fontId="1" fillId="0" borderId="0" xfId="0" applyFont="1"/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indent="3"/>
    </xf>
    <xf numFmtId="0" fontId="7" fillId="0" borderId="0" xfId="0" applyFont="1" applyAlignment="1">
      <alignment horizontal="left" indent="4"/>
    </xf>
    <xf numFmtId="49" fontId="2" fillId="2" borderId="4" xfId="0" applyNumberFormat="1" applyFont="1" applyFill="1" applyBorder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C3A-2EE0-477C-A8BF-65CE7D91E68F}">
  <dimension ref="A1:AF76"/>
  <sheetViews>
    <sheetView topLeftCell="Q42" zoomScale="120" zoomScaleNormal="120" workbookViewId="0">
      <selection activeCell="A56" sqref="A56:AF56"/>
    </sheetView>
  </sheetViews>
  <sheetFormatPr defaultRowHeight="14.6" x14ac:dyDescent="0.4"/>
  <cols>
    <col min="3" max="3" width="25.3046875" customWidth="1"/>
  </cols>
  <sheetData>
    <row r="1" spans="1:32" x14ac:dyDescent="0.4">
      <c r="A1" s="14" t="s">
        <v>68</v>
      </c>
    </row>
    <row r="2" spans="1:32" x14ac:dyDescent="0.4">
      <c r="A2" s="14" t="s">
        <v>69</v>
      </c>
    </row>
    <row r="3" spans="1:32" ht="23.15" x14ac:dyDescent="0.4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3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</row>
    <row r="4" spans="1:32" x14ac:dyDescent="0.4">
      <c r="A4" s="7">
        <v>71</v>
      </c>
      <c r="B4" s="7" t="s">
        <v>32</v>
      </c>
      <c r="C4" s="8" t="s">
        <v>33</v>
      </c>
      <c r="D4" s="9" t="s">
        <v>34</v>
      </c>
      <c r="E4" s="9">
        <v>900</v>
      </c>
      <c r="F4" s="9" t="s">
        <v>34</v>
      </c>
      <c r="G4" s="9" t="s">
        <v>34</v>
      </c>
      <c r="H4" s="9">
        <v>1</v>
      </c>
      <c r="I4" s="10" t="s">
        <v>35</v>
      </c>
      <c r="J4" s="9">
        <v>0</v>
      </c>
      <c r="K4" s="9">
        <v>2020</v>
      </c>
      <c r="L4" s="11">
        <v>679146.20200000005</v>
      </c>
      <c r="M4" s="11">
        <v>681410.50950000004</v>
      </c>
      <c r="N4" s="11">
        <v>653182.02800000005</v>
      </c>
      <c r="O4" s="11">
        <v>619493.50749999995</v>
      </c>
      <c r="P4" s="11">
        <v>598042.50899999996</v>
      </c>
      <c r="Q4" s="11">
        <v>598212.11849999998</v>
      </c>
      <c r="R4" s="11">
        <v>601652.96750000003</v>
      </c>
      <c r="S4" s="11">
        <v>549704.94099999999</v>
      </c>
      <c r="T4" s="11">
        <v>491737.685</v>
      </c>
      <c r="U4" s="11">
        <v>477345.11</v>
      </c>
      <c r="V4" s="11">
        <v>443293.00699999998</v>
      </c>
      <c r="W4" s="11">
        <v>387139.4</v>
      </c>
      <c r="X4" s="11">
        <v>321115.33750000002</v>
      </c>
      <c r="Y4" s="11">
        <v>269183.97249999997</v>
      </c>
      <c r="Z4" s="11">
        <v>192454.75</v>
      </c>
      <c r="AA4" s="11">
        <v>126084.348</v>
      </c>
      <c r="AB4" s="11">
        <v>85059.072</v>
      </c>
      <c r="AC4" s="11">
        <v>44648.644999999997</v>
      </c>
      <c r="AD4" s="11">
        <v>17369.871999999999</v>
      </c>
      <c r="AE4" s="11">
        <v>4129.3549999999996</v>
      </c>
      <c r="AF4" s="11">
        <v>547.54300000000001</v>
      </c>
    </row>
    <row r="5" spans="1:32" x14ac:dyDescent="0.4">
      <c r="A5" s="7">
        <v>144</v>
      </c>
      <c r="B5" s="7" t="s">
        <v>32</v>
      </c>
      <c r="C5" s="12" t="s">
        <v>36</v>
      </c>
      <c r="D5" s="9" t="s">
        <v>37</v>
      </c>
      <c r="E5" s="9">
        <v>1834</v>
      </c>
      <c r="F5" s="9" t="s">
        <v>34</v>
      </c>
      <c r="G5" s="9" t="s">
        <v>34</v>
      </c>
      <c r="H5" s="9">
        <v>202</v>
      </c>
      <c r="I5" s="10" t="s">
        <v>38</v>
      </c>
      <c r="J5" s="9">
        <v>1828</v>
      </c>
      <c r="K5" s="9">
        <v>2020</v>
      </c>
      <c r="L5" s="11">
        <v>175016.2555</v>
      </c>
      <c r="M5" s="11">
        <v>156010.16399999999</v>
      </c>
      <c r="N5" s="11">
        <v>138327.21100000001</v>
      </c>
      <c r="O5" s="11">
        <v>118349.18949999999</v>
      </c>
      <c r="P5" s="11">
        <v>99995.458499999993</v>
      </c>
      <c r="Q5" s="11">
        <v>85523.061000000002</v>
      </c>
      <c r="R5" s="11">
        <v>73646.021500000003</v>
      </c>
      <c r="S5" s="11">
        <v>61915.451500000003</v>
      </c>
      <c r="T5" s="11">
        <v>49916.413</v>
      </c>
      <c r="U5" s="11">
        <v>39864.377500000002</v>
      </c>
      <c r="V5" s="11">
        <v>32322.116000000002</v>
      </c>
      <c r="W5" s="11">
        <v>25318.693500000001</v>
      </c>
      <c r="X5" s="11">
        <v>19156.430499999999</v>
      </c>
      <c r="Y5" s="11">
        <v>14092.924499999999</v>
      </c>
      <c r="Z5" s="11">
        <v>9592.1530000000002</v>
      </c>
      <c r="AA5" s="11">
        <v>5801.3774999999996</v>
      </c>
      <c r="AB5" s="11">
        <v>2887.7975000000001</v>
      </c>
      <c r="AC5" s="11">
        <v>1118.7725</v>
      </c>
      <c r="AD5" s="11">
        <v>327.4015</v>
      </c>
      <c r="AE5" s="11">
        <v>66.619</v>
      </c>
      <c r="AF5" s="11">
        <v>11.5715</v>
      </c>
    </row>
    <row r="6" spans="1:32" x14ac:dyDescent="0.4">
      <c r="A6" s="7">
        <v>216</v>
      </c>
      <c r="B6" s="7" t="s">
        <v>32</v>
      </c>
      <c r="C6" s="12" t="s">
        <v>39</v>
      </c>
      <c r="D6" s="9" t="s">
        <v>34</v>
      </c>
      <c r="E6" s="9">
        <v>1833</v>
      </c>
      <c r="F6" s="9" t="s">
        <v>34</v>
      </c>
      <c r="G6" s="9" t="s">
        <v>34</v>
      </c>
      <c r="H6" s="9">
        <v>747</v>
      </c>
      <c r="I6" s="10" t="s">
        <v>38</v>
      </c>
      <c r="J6" s="9">
        <v>1828</v>
      </c>
      <c r="K6" s="9">
        <v>2020</v>
      </c>
      <c r="L6" s="11">
        <v>57659.165000000001</v>
      </c>
      <c r="M6" s="11">
        <v>57196.459000000003</v>
      </c>
      <c r="N6" s="11">
        <v>51236.713000000003</v>
      </c>
      <c r="O6" s="11">
        <v>45924.005499999999</v>
      </c>
      <c r="P6" s="11">
        <v>44078.983500000002</v>
      </c>
      <c r="Q6" s="11">
        <v>44091.839999999997</v>
      </c>
      <c r="R6" s="11">
        <v>43188.722500000003</v>
      </c>
      <c r="S6" s="11">
        <v>40311.072500000002</v>
      </c>
      <c r="T6" s="11">
        <v>35358.504500000003</v>
      </c>
      <c r="U6" s="11">
        <v>29681.406500000001</v>
      </c>
      <c r="V6" s="11">
        <v>24996.118999999999</v>
      </c>
      <c r="W6" s="11">
        <v>20225.2</v>
      </c>
      <c r="X6" s="11">
        <v>15514.537</v>
      </c>
      <c r="Y6" s="11">
        <v>11539.279500000001</v>
      </c>
      <c r="Z6" s="11">
        <v>7807.7524999999996</v>
      </c>
      <c r="AA6" s="11">
        <v>4720.4780000000001</v>
      </c>
      <c r="AB6" s="11">
        <v>2847.8209999999999</v>
      </c>
      <c r="AC6" s="11">
        <v>1240.2280000000001</v>
      </c>
      <c r="AD6" s="11">
        <v>366.59</v>
      </c>
      <c r="AE6" s="11">
        <v>64.251499999999993</v>
      </c>
      <c r="AF6" s="11">
        <v>6.3304999999999998</v>
      </c>
    </row>
    <row r="7" spans="1:32" x14ac:dyDescent="0.4">
      <c r="A7" s="7">
        <v>288</v>
      </c>
      <c r="B7" s="7" t="s">
        <v>32</v>
      </c>
      <c r="C7" s="12" t="s">
        <v>40</v>
      </c>
      <c r="D7" s="9" t="s">
        <v>34</v>
      </c>
      <c r="E7" s="9">
        <v>1831</v>
      </c>
      <c r="F7" s="9" t="s">
        <v>34</v>
      </c>
      <c r="G7" s="9" t="s">
        <v>34</v>
      </c>
      <c r="H7" s="9">
        <v>62</v>
      </c>
      <c r="I7" s="10" t="s">
        <v>38</v>
      </c>
      <c r="J7" s="9">
        <v>1828</v>
      </c>
      <c r="K7" s="9">
        <v>2020</v>
      </c>
      <c r="L7" s="11">
        <v>187571.36350000001</v>
      </c>
      <c r="M7" s="11">
        <v>191136.37049999999</v>
      </c>
      <c r="N7" s="11">
        <v>191220.75349999999</v>
      </c>
      <c r="O7" s="11">
        <v>191298.356</v>
      </c>
      <c r="P7" s="11">
        <v>182740.32</v>
      </c>
      <c r="Q7" s="11">
        <v>174082.709</v>
      </c>
      <c r="R7" s="11">
        <v>163687.41250000001</v>
      </c>
      <c r="S7" s="11">
        <v>147295.17199999999</v>
      </c>
      <c r="T7" s="11">
        <v>127382.887</v>
      </c>
      <c r="U7" s="11">
        <v>112124.66650000001</v>
      </c>
      <c r="V7" s="11">
        <v>96905.097999999998</v>
      </c>
      <c r="W7" s="11">
        <v>83057.626499999998</v>
      </c>
      <c r="X7" s="11">
        <v>68421.481</v>
      </c>
      <c r="Y7" s="11">
        <v>52426.438999999998</v>
      </c>
      <c r="Z7" s="11">
        <v>34235.692999999999</v>
      </c>
      <c r="AA7" s="11">
        <v>21104.294999999998</v>
      </c>
      <c r="AB7" s="11">
        <v>12236.835499999999</v>
      </c>
      <c r="AC7" s="11">
        <v>5366.8194999999996</v>
      </c>
      <c r="AD7" s="11">
        <v>1683.787</v>
      </c>
      <c r="AE7" s="11">
        <v>324.59949999999998</v>
      </c>
      <c r="AF7" s="11">
        <v>39.625999999999998</v>
      </c>
    </row>
    <row r="8" spans="1:32" x14ac:dyDescent="0.4">
      <c r="A8" s="7">
        <v>360</v>
      </c>
      <c r="B8" s="7" t="s">
        <v>32</v>
      </c>
      <c r="C8" s="12" t="s">
        <v>41</v>
      </c>
      <c r="D8" s="9" t="s">
        <v>34</v>
      </c>
      <c r="E8" s="9">
        <v>1832</v>
      </c>
      <c r="F8" s="9" t="s">
        <v>34</v>
      </c>
      <c r="G8" s="9" t="s">
        <v>34</v>
      </c>
      <c r="H8" s="9">
        <v>753</v>
      </c>
      <c r="I8" s="10" t="s">
        <v>38</v>
      </c>
      <c r="J8" s="9">
        <v>1828</v>
      </c>
      <c r="K8" s="9">
        <v>2020</v>
      </c>
      <c r="L8" s="11">
        <v>145990.258</v>
      </c>
      <c r="M8" s="11">
        <v>157804.91649999999</v>
      </c>
      <c r="N8" s="11">
        <v>151959.57500000001</v>
      </c>
      <c r="O8" s="11">
        <v>144990.76300000001</v>
      </c>
      <c r="P8" s="11">
        <v>149777.22</v>
      </c>
      <c r="Q8" s="11">
        <v>167021.02799999999</v>
      </c>
      <c r="R8" s="11">
        <v>188618.285</v>
      </c>
      <c r="S8" s="11">
        <v>170753.30549999999</v>
      </c>
      <c r="T8" s="11">
        <v>156343.73149999999</v>
      </c>
      <c r="U8" s="11">
        <v>177881.13200000001</v>
      </c>
      <c r="V8" s="11">
        <v>175187.55350000001</v>
      </c>
      <c r="W8" s="11">
        <v>147155.31299999999</v>
      </c>
      <c r="X8" s="11">
        <v>116998.02650000001</v>
      </c>
      <c r="Y8" s="11">
        <v>105533.67750000001</v>
      </c>
      <c r="Z8" s="11">
        <v>72925.705499999996</v>
      </c>
      <c r="AA8" s="11">
        <v>47600.500500000002</v>
      </c>
      <c r="AB8" s="11">
        <v>31541.177</v>
      </c>
      <c r="AC8" s="11">
        <v>17100.973000000002</v>
      </c>
      <c r="AD8" s="11">
        <v>6420.6824999999999</v>
      </c>
      <c r="AE8" s="11">
        <v>1518.6410000000001</v>
      </c>
      <c r="AF8" s="11">
        <v>221.61150000000001</v>
      </c>
    </row>
    <row r="9" spans="1:32" x14ac:dyDescent="0.4">
      <c r="A9" s="7">
        <v>432</v>
      </c>
      <c r="B9" s="7" t="s">
        <v>32</v>
      </c>
      <c r="C9" s="12" t="s">
        <v>42</v>
      </c>
      <c r="D9" s="9" t="s">
        <v>34</v>
      </c>
      <c r="E9" s="9">
        <v>1830</v>
      </c>
      <c r="F9" s="9" t="s">
        <v>34</v>
      </c>
      <c r="G9" s="9" t="s">
        <v>34</v>
      </c>
      <c r="H9" s="9">
        <v>419</v>
      </c>
      <c r="I9" s="10" t="s">
        <v>38</v>
      </c>
      <c r="J9" s="9">
        <v>1828</v>
      </c>
      <c r="K9" s="9">
        <v>2020</v>
      </c>
      <c r="L9" s="11">
        <v>50461.503499999999</v>
      </c>
      <c r="M9" s="11">
        <v>52348.614500000003</v>
      </c>
      <c r="N9" s="11">
        <v>52807.705000000002</v>
      </c>
      <c r="O9" s="11">
        <v>53517.923999999999</v>
      </c>
      <c r="P9" s="11">
        <v>54037.222500000003</v>
      </c>
      <c r="Q9" s="11">
        <v>53002.648500000003</v>
      </c>
      <c r="R9" s="11">
        <v>51202.394</v>
      </c>
      <c r="S9" s="11">
        <v>48437.002</v>
      </c>
      <c r="T9" s="11">
        <v>44332.249000000003</v>
      </c>
      <c r="U9" s="11">
        <v>39913.664499999999</v>
      </c>
      <c r="V9" s="11">
        <v>35963.621500000001</v>
      </c>
      <c r="W9" s="11">
        <v>32012.84</v>
      </c>
      <c r="X9" s="11">
        <v>26418.918000000001</v>
      </c>
      <c r="Y9" s="11">
        <v>20755.680499999999</v>
      </c>
      <c r="Z9" s="11">
        <v>15083.209500000001</v>
      </c>
      <c r="AA9" s="11">
        <v>10354.629499999999</v>
      </c>
      <c r="AB9" s="11">
        <v>6495.7254999999996</v>
      </c>
      <c r="AC9" s="11">
        <v>3195.7064999999998</v>
      </c>
      <c r="AD9" s="11">
        <v>1165.1095</v>
      </c>
      <c r="AE9" s="11">
        <v>288.65300000000002</v>
      </c>
      <c r="AF9" s="11">
        <v>41.100499999999997</v>
      </c>
    </row>
    <row r="10" spans="1:32" x14ac:dyDescent="0.4">
      <c r="A10" s="7">
        <v>504</v>
      </c>
      <c r="B10" s="7" t="s">
        <v>32</v>
      </c>
      <c r="C10" s="12" t="s">
        <v>43</v>
      </c>
      <c r="D10" s="9" t="s">
        <v>34</v>
      </c>
      <c r="E10" s="9">
        <v>1835</v>
      </c>
      <c r="F10" s="9" t="s">
        <v>34</v>
      </c>
      <c r="G10" s="9" t="s">
        <v>34</v>
      </c>
      <c r="H10" s="9">
        <v>543</v>
      </c>
      <c r="I10" s="10" t="s">
        <v>38</v>
      </c>
      <c r="J10" s="9">
        <v>1828</v>
      </c>
      <c r="K10" s="9">
        <v>2020</v>
      </c>
      <c r="L10" s="11">
        <v>1578.5235</v>
      </c>
      <c r="M10" s="11">
        <v>1514.4414999999999</v>
      </c>
      <c r="N10" s="11">
        <v>1412.1295</v>
      </c>
      <c r="O10" s="11">
        <v>1302.8420000000001</v>
      </c>
      <c r="P10" s="11">
        <v>1193.431</v>
      </c>
      <c r="Q10" s="11">
        <v>1104.1485</v>
      </c>
      <c r="R10" s="11">
        <v>998.30449999999996</v>
      </c>
      <c r="S10" s="11">
        <v>872.73699999999997</v>
      </c>
      <c r="T10" s="11">
        <v>753.67849999999999</v>
      </c>
      <c r="U10" s="11">
        <v>646.66549999999995</v>
      </c>
      <c r="V10" s="11">
        <v>550.28899999999999</v>
      </c>
      <c r="W10" s="11">
        <v>448.37049999999999</v>
      </c>
      <c r="X10" s="11">
        <v>324.42849999999999</v>
      </c>
      <c r="Y10" s="11">
        <v>216.29300000000001</v>
      </c>
      <c r="Z10" s="11">
        <v>141.11699999999999</v>
      </c>
      <c r="AA10" s="11">
        <v>81.593500000000006</v>
      </c>
      <c r="AB10" s="11">
        <v>41.165999999999997</v>
      </c>
      <c r="AC10" s="11">
        <v>16.103000000000002</v>
      </c>
      <c r="AD10" s="11">
        <v>4.8185000000000002</v>
      </c>
      <c r="AE10" s="11">
        <v>1.0029999999999999</v>
      </c>
      <c r="AF10" s="11">
        <v>0.158</v>
      </c>
    </row>
    <row r="11" spans="1:32" x14ac:dyDescent="0.4">
      <c r="A11" s="7">
        <v>576</v>
      </c>
      <c r="B11" s="7" t="s">
        <v>32</v>
      </c>
      <c r="C11" s="12" t="s">
        <v>44</v>
      </c>
      <c r="D11" s="9" t="s">
        <v>34</v>
      </c>
      <c r="E11" s="9">
        <v>1836</v>
      </c>
      <c r="F11" s="9" t="s">
        <v>34</v>
      </c>
      <c r="G11" s="9" t="s">
        <v>34</v>
      </c>
      <c r="H11" s="9">
        <v>53</v>
      </c>
      <c r="I11" s="10" t="s">
        <v>38</v>
      </c>
      <c r="J11" s="9">
        <v>1828</v>
      </c>
      <c r="K11" s="9">
        <v>2020</v>
      </c>
      <c r="L11" s="11">
        <v>1864.2974999999999</v>
      </c>
      <c r="M11" s="11">
        <v>1946.5035</v>
      </c>
      <c r="N11" s="11">
        <v>1913.9355</v>
      </c>
      <c r="O11" s="11">
        <v>1808.0630000000001</v>
      </c>
      <c r="P11" s="11">
        <v>2059.2655</v>
      </c>
      <c r="Q11" s="11">
        <v>2310.2494999999999</v>
      </c>
      <c r="R11" s="11">
        <v>2301.9899999999998</v>
      </c>
      <c r="S11" s="11">
        <v>2170.442</v>
      </c>
      <c r="T11" s="11">
        <v>1934.0239999999999</v>
      </c>
      <c r="U11" s="11">
        <v>2000.7919999999999</v>
      </c>
      <c r="V11" s="11">
        <v>1892.067</v>
      </c>
      <c r="W11" s="11">
        <v>1866.7525000000001</v>
      </c>
      <c r="X11" s="11">
        <v>1707.1865</v>
      </c>
      <c r="Y11" s="11">
        <v>1490.8225</v>
      </c>
      <c r="Z11" s="11">
        <v>1305.692</v>
      </c>
      <c r="AA11" s="11">
        <v>916.71749999999997</v>
      </c>
      <c r="AB11" s="11">
        <v>623.31449999999995</v>
      </c>
      <c r="AC11" s="11">
        <v>375.03250000000003</v>
      </c>
      <c r="AD11" s="11">
        <v>185.989</v>
      </c>
      <c r="AE11" s="11">
        <v>51.436500000000002</v>
      </c>
      <c r="AF11" s="11">
        <v>6.6109999999999998</v>
      </c>
    </row>
    <row r="12" spans="1:32" x14ac:dyDescent="0.4">
      <c r="A12" s="7">
        <v>648</v>
      </c>
      <c r="B12" s="7" t="s">
        <v>32</v>
      </c>
      <c r="C12" s="12" t="s">
        <v>45</v>
      </c>
      <c r="D12" s="9" t="s">
        <v>34</v>
      </c>
      <c r="E12" s="9">
        <v>1829</v>
      </c>
      <c r="F12" s="9" t="s">
        <v>34</v>
      </c>
      <c r="G12" s="9" t="s">
        <v>34</v>
      </c>
      <c r="H12" s="9">
        <v>513</v>
      </c>
      <c r="I12" s="10" t="s">
        <v>38</v>
      </c>
      <c r="J12" s="9">
        <v>1828</v>
      </c>
      <c r="K12" s="9">
        <v>2020</v>
      </c>
      <c r="L12" s="11">
        <v>59004.835500000001</v>
      </c>
      <c r="M12" s="11">
        <v>63453.04</v>
      </c>
      <c r="N12" s="11">
        <v>64304.005499999999</v>
      </c>
      <c r="O12" s="11">
        <v>62302.364500000003</v>
      </c>
      <c r="P12" s="11">
        <v>64160.608</v>
      </c>
      <c r="Q12" s="11">
        <v>71076.433999999994</v>
      </c>
      <c r="R12" s="11">
        <v>78009.837499999994</v>
      </c>
      <c r="S12" s="11">
        <v>77949.758499999996</v>
      </c>
      <c r="T12" s="11">
        <v>75716.197499999995</v>
      </c>
      <c r="U12" s="11">
        <v>75232.405499999993</v>
      </c>
      <c r="V12" s="11">
        <v>75476.142999999996</v>
      </c>
      <c r="W12" s="11">
        <v>77054.604000000007</v>
      </c>
      <c r="X12" s="11">
        <v>72574.329500000007</v>
      </c>
      <c r="Y12" s="11">
        <v>63128.856</v>
      </c>
      <c r="Z12" s="11">
        <v>51363.427499999998</v>
      </c>
      <c r="AA12" s="11">
        <v>35504.756500000003</v>
      </c>
      <c r="AB12" s="11">
        <v>28385.235000000001</v>
      </c>
      <c r="AC12" s="11">
        <v>16235.01</v>
      </c>
      <c r="AD12" s="11">
        <v>7215.4939999999997</v>
      </c>
      <c r="AE12" s="11">
        <v>1814.1514999999999</v>
      </c>
      <c r="AF12" s="11">
        <v>220.53399999999999</v>
      </c>
    </row>
    <row r="13" spans="1:32" x14ac:dyDescent="0.4">
      <c r="A13" s="7">
        <v>721</v>
      </c>
      <c r="B13" s="7" t="s">
        <v>32</v>
      </c>
      <c r="C13" s="12" t="s">
        <v>46</v>
      </c>
      <c r="D13" s="9" t="s">
        <v>47</v>
      </c>
      <c r="E13" s="9">
        <v>901</v>
      </c>
      <c r="F13" s="9" t="s">
        <v>34</v>
      </c>
      <c r="G13" s="9" t="s">
        <v>34</v>
      </c>
      <c r="H13" s="9">
        <v>514</v>
      </c>
      <c r="I13" s="10" t="s">
        <v>48</v>
      </c>
      <c r="J13" s="9">
        <v>1803</v>
      </c>
      <c r="K13" s="9">
        <v>2020</v>
      </c>
      <c r="L13" s="11">
        <v>65302.955499999996</v>
      </c>
      <c r="M13" s="11">
        <v>70490.737999999998</v>
      </c>
      <c r="N13" s="11">
        <v>71616.722999999998</v>
      </c>
      <c r="O13" s="11">
        <v>69814.84</v>
      </c>
      <c r="P13" s="11">
        <v>72257.03</v>
      </c>
      <c r="Q13" s="11">
        <v>79480.982499999998</v>
      </c>
      <c r="R13" s="11">
        <v>86828.554000000004</v>
      </c>
      <c r="S13" s="11">
        <v>87298.228499999997</v>
      </c>
      <c r="T13" s="11">
        <v>86040.620999999999</v>
      </c>
      <c r="U13" s="11">
        <v>86903.457999999999</v>
      </c>
      <c r="V13" s="11">
        <v>85875.437000000005</v>
      </c>
      <c r="W13" s="11">
        <v>86747.914499999999</v>
      </c>
      <c r="X13" s="11">
        <v>81626.028999999995</v>
      </c>
      <c r="Y13" s="11">
        <v>72741.320999999996</v>
      </c>
      <c r="Z13" s="11">
        <v>61980.103000000003</v>
      </c>
      <c r="AA13" s="11">
        <v>43693.313499999997</v>
      </c>
      <c r="AB13" s="11">
        <v>34592.120000000003</v>
      </c>
      <c r="AC13" s="11">
        <v>20513.143499999998</v>
      </c>
      <c r="AD13" s="11">
        <v>9444.777</v>
      </c>
      <c r="AE13" s="11">
        <v>2555.6595000000002</v>
      </c>
      <c r="AF13" s="11">
        <v>354.02350000000001</v>
      </c>
    </row>
    <row r="14" spans="1:32" x14ac:dyDescent="0.4">
      <c r="A14" s="7">
        <v>793</v>
      </c>
      <c r="B14" s="7" t="s">
        <v>32</v>
      </c>
      <c r="C14" s="12" t="s">
        <v>49</v>
      </c>
      <c r="D14" s="9" t="s">
        <v>50</v>
      </c>
      <c r="E14" s="9">
        <v>902</v>
      </c>
      <c r="F14" s="9" t="s">
        <v>34</v>
      </c>
      <c r="G14" s="9" t="s">
        <v>34</v>
      </c>
      <c r="H14" s="9">
        <v>515</v>
      </c>
      <c r="I14" s="10" t="s">
        <v>48</v>
      </c>
      <c r="J14" s="9">
        <v>1803</v>
      </c>
      <c r="K14" s="9">
        <v>2020</v>
      </c>
      <c r="L14" s="11">
        <v>613843.24650000001</v>
      </c>
      <c r="M14" s="11">
        <v>610919.77150000003</v>
      </c>
      <c r="N14" s="11">
        <v>581565.30500000005</v>
      </c>
      <c r="O14" s="11">
        <v>549678.66749999998</v>
      </c>
      <c r="P14" s="11">
        <v>525785.47900000005</v>
      </c>
      <c r="Q14" s="11">
        <v>518731.136</v>
      </c>
      <c r="R14" s="11">
        <v>514824.41350000002</v>
      </c>
      <c r="S14" s="11">
        <v>462406.71250000002</v>
      </c>
      <c r="T14" s="11">
        <v>405697.06400000001</v>
      </c>
      <c r="U14" s="11">
        <v>390441.652</v>
      </c>
      <c r="V14" s="11">
        <v>357417.57</v>
      </c>
      <c r="W14" s="11">
        <v>300391.48550000001</v>
      </c>
      <c r="X14" s="11">
        <v>239489.30850000001</v>
      </c>
      <c r="Y14" s="11">
        <v>196442.65150000001</v>
      </c>
      <c r="Z14" s="11">
        <v>130474.647</v>
      </c>
      <c r="AA14" s="11">
        <v>82391.034499999994</v>
      </c>
      <c r="AB14" s="11">
        <v>50466.951999999997</v>
      </c>
      <c r="AC14" s="11">
        <v>24135.501499999998</v>
      </c>
      <c r="AD14" s="11">
        <v>7925.0950000000003</v>
      </c>
      <c r="AE14" s="11">
        <v>1573.6955</v>
      </c>
      <c r="AF14" s="11">
        <v>193.51949999999999</v>
      </c>
    </row>
    <row r="15" spans="1:32" x14ac:dyDescent="0.4">
      <c r="A15" s="7">
        <v>865</v>
      </c>
      <c r="B15" s="7" t="s">
        <v>32</v>
      </c>
      <c r="C15" s="13" t="s">
        <v>51</v>
      </c>
      <c r="D15" s="9" t="s">
        <v>52</v>
      </c>
      <c r="E15" s="9">
        <v>941</v>
      </c>
      <c r="F15" s="9" t="s">
        <v>34</v>
      </c>
      <c r="G15" s="9" t="s">
        <v>34</v>
      </c>
      <c r="H15" s="9">
        <v>199</v>
      </c>
      <c r="I15" s="10" t="s">
        <v>48</v>
      </c>
      <c r="J15" s="9">
        <v>902</v>
      </c>
      <c r="K15" s="9">
        <v>2020</v>
      </c>
      <c r="L15" s="11">
        <v>154812.3235</v>
      </c>
      <c r="M15" s="11">
        <v>139389.726</v>
      </c>
      <c r="N15" s="11">
        <v>127074.9405</v>
      </c>
      <c r="O15" s="11">
        <v>114015.5815</v>
      </c>
      <c r="P15" s="11">
        <v>99312.134000000005</v>
      </c>
      <c r="Q15" s="11">
        <v>85828.896999999997</v>
      </c>
      <c r="R15" s="11">
        <v>73900.038</v>
      </c>
      <c r="S15" s="11">
        <v>62476.673000000003</v>
      </c>
      <c r="T15" s="11">
        <v>51223.290999999997</v>
      </c>
      <c r="U15" s="11">
        <v>42458.201999999997</v>
      </c>
      <c r="V15" s="11">
        <v>34751.805500000002</v>
      </c>
      <c r="W15" s="11">
        <v>27852.728999999999</v>
      </c>
      <c r="X15" s="11">
        <v>22055.155500000001</v>
      </c>
      <c r="Y15" s="11">
        <v>16311.2165</v>
      </c>
      <c r="Z15" s="11">
        <v>10787.404</v>
      </c>
      <c r="AA15" s="11">
        <v>6572.0320000000002</v>
      </c>
      <c r="AB15" s="11">
        <v>3310.3845000000001</v>
      </c>
      <c r="AC15" s="11">
        <v>1250.1165000000001</v>
      </c>
      <c r="AD15" s="11">
        <v>312.85700000000003</v>
      </c>
      <c r="AE15" s="11">
        <v>44.045000000000002</v>
      </c>
      <c r="AF15" s="11">
        <v>3.8980000000000001</v>
      </c>
    </row>
    <row r="16" spans="1:32" x14ac:dyDescent="0.4">
      <c r="A16" s="7">
        <v>937</v>
      </c>
      <c r="B16" s="7" t="s">
        <v>32</v>
      </c>
      <c r="C16" s="13" t="s">
        <v>53</v>
      </c>
      <c r="D16" s="9" t="s">
        <v>54</v>
      </c>
      <c r="E16" s="9">
        <v>934</v>
      </c>
      <c r="F16" s="9" t="s">
        <v>34</v>
      </c>
      <c r="G16" s="9" t="s">
        <v>34</v>
      </c>
      <c r="H16" s="9" t="s">
        <v>34</v>
      </c>
      <c r="I16" s="10" t="s">
        <v>48</v>
      </c>
      <c r="J16" s="9">
        <v>902</v>
      </c>
      <c r="K16" s="9">
        <v>2020</v>
      </c>
      <c r="L16" s="11">
        <v>459030.92300000001</v>
      </c>
      <c r="M16" s="11">
        <v>471530.04550000001</v>
      </c>
      <c r="N16" s="11">
        <v>454490.36450000003</v>
      </c>
      <c r="O16" s="11">
        <v>435663.08600000001</v>
      </c>
      <c r="P16" s="11">
        <v>426473.34499999997</v>
      </c>
      <c r="Q16" s="11">
        <v>432902.239</v>
      </c>
      <c r="R16" s="11">
        <v>440924.37550000002</v>
      </c>
      <c r="S16" s="11">
        <v>399930.03950000001</v>
      </c>
      <c r="T16" s="11">
        <v>354473.77299999999</v>
      </c>
      <c r="U16" s="11">
        <v>347983.45</v>
      </c>
      <c r="V16" s="11">
        <v>322665.76449999999</v>
      </c>
      <c r="W16" s="11">
        <v>272538.75650000002</v>
      </c>
      <c r="X16" s="11">
        <v>217434.15299999999</v>
      </c>
      <c r="Y16" s="11">
        <v>180131.435</v>
      </c>
      <c r="Z16" s="11">
        <v>119687.243</v>
      </c>
      <c r="AA16" s="11">
        <v>75819.002500000002</v>
      </c>
      <c r="AB16" s="11">
        <v>47156.567499999997</v>
      </c>
      <c r="AC16" s="11">
        <v>22885.384999999998</v>
      </c>
      <c r="AD16" s="11">
        <v>7612.2380000000003</v>
      </c>
      <c r="AE16" s="11">
        <v>1529.6505</v>
      </c>
      <c r="AF16" s="11">
        <v>189.6215</v>
      </c>
    </row>
    <row r="17" spans="1:32" x14ac:dyDescent="0.4">
      <c r="A17" s="7">
        <v>1009</v>
      </c>
      <c r="B17" s="7" t="s">
        <v>32</v>
      </c>
      <c r="C17" s="12" t="s">
        <v>55</v>
      </c>
      <c r="D17" s="9" t="s">
        <v>34</v>
      </c>
      <c r="E17" s="9">
        <v>948</v>
      </c>
      <c r="F17" s="9" t="s">
        <v>34</v>
      </c>
      <c r="G17" s="9" t="s">
        <v>34</v>
      </c>
      <c r="H17" s="9" t="s">
        <v>34</v>
      </c>
      <c r="I17" s="10" t="s">
        <v>48</v>
      </c>
      <c r="J17" s="9">
        <v>1803</v>
      </c>
      <c r="K17" s="9">
        <v>2020</v>
      </c>
      <c r="L17" s="11">
        <v>531471.83149999997</v>
      </c>
      <c r="M17" s="11">
        <v>519089.08649999998</v>
      </c>
      <c r="N17" s="11">
        <v>494860.62</v>
      </c>
      <c r="O17" s="11">
        <v>468793.788</v>
      </c>
      <c r="P17" s="11">
        <v>441369.72450000001</v>
      </c>
      <c r="Q17" s="11">
        <v>417495.5895</v>
      </c>
      <c r="R17" s="11">
        <v>390084.77850000001</v>
      </c>
      <c r="S17" s="11">
        <v>355385.99249999999</v>
      </c>
      <c r="T17" s="11">
        <v>309955.35800000001</v>
      </c>
      <c r="U17" s="11">
        <v>271457.82250000001</v>
      </c>
      <c r="V17" s="11">
        <v>235749.08</v>
      </c>
      <c r="W17" s="11">
        <v>200596.83300000001</v>
      </c>
      <c r="X17" s="11">
        <v>162577.19750000001</v>
      </c>
      <c r="Y17" s="11">
        <v>122466.837</v>
      </c>
      <c r="Z17" s="11">
        <v>82869.426000000007</v>
      </c>
      <c r="AA17" s="11">
        <v>52733.894</v>
      </c>
      <c r="AB17" s="11">
        <v>31107.2235</v>
      </c>
      <c r="AC17" s="11">
        <v>14066.057000000001</v>
      </c>
      <c r="AD17" s="11">
        <v>4605.357</v>
      </c>
      <c r="AE17" s="11">
        <v>983.77599999999995</v>
      </c>
      <c r="AF17" s="11">
        <v>146.14949999999999</v>
      </c>
    </row>
    <row r="18" spans="1:32" x14ac:dyDescent="0.4">
      <c r="A18" s="7">
        <v>1081</v>
      </c>
      <c r="B18" s="7" t="s">
        <v>32</v>
      </c>
      <c r="C18" s="12" t="s">
        <v>56</v>
      </c>
      <c r="D18" s="9" t="s">
        <v>57</v>
      </c>
      <c r="E18" s="9">
        <v>1636</v>
      </c>
      <c r="F18" s="9" t="s">
        <v>34</v>
      </c>
      <c r="G18" s="9" t="s">
        <v>34</v>
      </c>
      <c r="H18" s="9">
        <v>432</v>
      </c>
      <c r="I18" s="10" t="s">
        <v>58</v>
      </c>
      <c r="J18" s="9">
        <v>1803</v>
      </c>
      <c r="K18" s="9">
        <v>2020</v>
      </c>
      <c r="L18" s="11">
        <v>77974.773499999996</v>
      </c>
      <c r="M18" s="11">
        <v>71010.604000000007</v>
      </c>
      <c r="N18" s="11">
        <v>63895.075499999999</v>
      </c>
      <c r="O18" s="11">
        <v>56212.483999999997</v>
      </c>
      <c r="P18" s="11">
        <v>49117.8105</v>
      </c>
      <c r="Q18" s="11">
        <v>43370.106500000002</v>
      </c>
      <c r="R18" s="11">
        <v>37533.83</v>
      </c>
      <c r="S18" s="11">
        <v>30974.789000000001</v>
      </c>
      <c r="T18" s="11">
        <v>25271.424500000001</v>
      </c>
      <c r="U18" s="11">
        <v>20637.836500000001</v>
      </c>
      <c r="V18" s="11">
        <v>17115.731500000002</v>
      </c>
      <c r="W18" s="11">
        <v>14369.825999999999</v>
      </c>
      <c r="X18" s="11">
        <v>11244.731</v>
      </c>
      <c r="Y18" s="11">
        <v>8134.14</v>
      </c>
      <c r="Z18" s="11">
        <v>5261.9305000000004</v>
      </c>
      <c r="AA18" s="11">
        <v>3099.1095</v>
      </c>
      <c r="AB18" s="11">
        <v>1767.3910000000001</v>
      </c>
      <c r="AC18" s="11">
        <v>659.61749999999995</v>
      </c>
      <c r="AD18" s="11">
        <v>181.8415</v>
      </c>
      <c r="AE18" s="11">
        <v>28.445499999999999</v>
      </c>
      <c r="AF18" s="11">
        <v>3.3159999999999998</v>
      </c>
    </row>
    <row r="19" spans="1:32" x14ac:dyDescent="0.4">
      <c r="A19" s="7">
        <v>1153</v>
      </c>
      <c r="B19" s="7" t="s">
        <v>32</v>
      </c>
      <c r="C19" s="12" t="s">
        <v>59</v>
      </c>
      <c r="D19" s="9" t="s">
        <v>60</v>
      </c>
      <c r="E19" s="9">
        <v>1637</v>
      </c>
      <c r="F19" s="9" t="s">
        <v>34</v>
      </c>
      <c r="G19" s="9" t="s">
        <v>34</v>
      </c>
      <c r="H19" s="9">
        <v>722</v>
      </c>
      <c r="I19" s="10" t="s">
        <v>58</v>
      </c>
      <c r="J19" s="9">
        <v>1803</v>
      </c>
      <c r="K19" s="9">
        <v>2020</v>
      </c>
      <c r="L19" s="11">
        <v>6281.3474999999999</v>
      </c>
      <c r="M19" s="11">
        <v>6251.9979999999996</v>
      </c>
      <c r="N19" s="11">
        <v>6069.57</v>
      </c>
      <c r="O19" s="11">
        <v>5972.3405000000002</v>
      </c>
      <c r="P19" s="11">
        <v>5962.7920000000004</v>
      </c>
      <c r="Q19" s="11">
        <v>5855.7945</v>
      </c>
      <c r="R19" s="11">
        <v>5604.4624999999996</v>
      </c>
      <c r="S19" s="11">
        <v>5060.0420000000004</v>
      </c>
      <c r="T19" s="11">
        <v>4560.1035000000002</v>
      </c>
      <c r="U19" s="11">
        <v>4408.4440000000004</v>
      </c>
      <c r="V19" s="11">
        <v>4120.6485000000002</v>
      </c>
      <c r="W19" s="11">
        <v>3764.0549999999998</v>
      </c>
      <c r="X19" s="11">
        <v>2961.9050000000002</v>
      </c>
      <c r="Y19" s="11">
        <v>2309.4549999999999</v>
      </c>
      <c r="Z19" s="11">
        <v>1640.271</v>
      </c>
      <c r="AA19" s="11">
        <v>1103.1300000000001</v>
      </c>
      <c r="AB19" s="11">
        <v>691.79200000000003</v>
      </c>
      <c r="AC19" s="11">
        <v>358.43299999999999</v>
      </c>
      <c r="AD19" s="11">
        <v>147.92150000000001</v>
      </c>
      <c r="AE19" s="11">
        <v>41.042000000000002</v>
      </c>
      <c r="AF19" s="11">
        <v>7.6944999999999997</v>
      </c>
    </row>
    <row r="20" spans="1:32" x14ac:dyDescent="0.4">
      <c r="A20" s="7">
        <v>1226</v>
      </c>
      <c r="B20" s="7" t="s">
        <v>32</v>
      </c>
      <c r="C20" s="12" t="s">
        <v>61</v>
      </c>
      <c r="D20" s="9" t="s">
        <v>62</v>
      </c>
      <c r="E20" s="9">
        <v>1503</v>
      </c>
      <c r="F20" s="9" t="s">
        <v>34</v>
      </c>
      <c r="G20" s="9" t="s">
        <v>34</v>
      </c>
      <c r="H20" s="9">
        <v>910</v>
      </c>
      <c r="I20" s="10" t="s">
        <v>63</v>
      </c>
      <c r="J20" s="9">
        <v>1802</v>
      </c>
      <c r="K20" s="9">
        <v>2020</v>
      </c>
      <c r="L20" s="11">
        <v>64493.512000000002</v>
      </c>
      <c r="M20" s="11">
        <v>68589.490000000005</v>
      </c>
      <c r="N20" s="11">
        <v>70473.3995</v>
      </c>
      <c r="O20" s="11">
        <v>69863.145999999993</v>
      </c>
      <c r="P20" s="11">
        <v>74398.028999999995</v>
      </c>
      <c r="Q20" s="11">
        <v>80616.776500000007</v>
      </c>
      <c r="R20" s="11">
        <v>83726.062000000005</v>
      </c>
      <c r="S20" s="11">
        <v>85604.868000000002</v>
      </c>
      <c r="T20" s="11">
        <v>85488.660999999993</v>
      </c>
      <c r="U20" s="11">
        <v>86166.941000000006</v>
      </c>
      <c r="V20" s="11">
        <v>85037.751499999998</v>
      </c>
      <c r="W20" s="11">
        <v>82813.755499999999</v>
      </c>
      <c r="X20" s="11">
        <v>76063.401500000007</v>
      </c>
      <c r="Y20" s="11">
        <v>67240.111000000004</v>
      </c>
      <c r="Z20" s="11">
        <v>57900.436000000002</v>
      </c>
      <c r="AA20" s="11">
        <v>42314.755499999999</v>
      </c>
      <c r="AB20" s="11">
        <v>31614.181499999999</v>
      </c>
      <c r="AC20" s="11">
        <v>19729.155500000001</v>
      </c>
      <c r="AD20" s="11">
        <v>9056.0305000000008</v>
      </c>
      <c r="AE20" s="11">
        <v>2545.4899999999998</v>
      </c>
      <c r="AF20" s="11">
        <v>370.81650000000002</v>
      </c>
    </row>
    <row r="21" spans="1:32" x14ac:dyDescent="0.4">
      <c r="A21" s="7">
        <v>1298</v>
      </c>
      <c r="B21" s="7" t="s">
        <v>32</v>
      </c>
      <c r="C21" s="12" t="s">
        <v>64</v>
      </c>
      <c r="D21" s="9" t="s">
        <v>62</v>
      </c>
      <c r="E21" s="9">
        <v>1517</v>
      </c>
      <c r="F21" s="9" t="s">
        <v>34</v>
      </c>
      <c r="G21" s="9" t="s">
        <v>34</v>
      </c>
      <c r="H21" s="9" t="s">
        <v>34</v>
      </c>
      <c r="I21" s="10" t="s">
        <v>63</v>
      </c>
      <c r="J21" s="9">
        <v>1802</v>
      </c>
      <c r="K21" s="9">
        <v>2020</v>
      </c>
      <c r="L21" s="11">
        <v>501864.02399999998</v>
      </c>
      <c r="M21" s="11">
        <v>511708.49650000001</v>
      </c>
      <c r="N21" s="11">
        <v>492185.4155</v>
      </c>
      <c r="O21" s="11">
        <v>471088.84250000003</v>
      </c>
      <c r="P21" s="11">
        <v>456821.26799999998</v>
      </c>
      <c r="Q21" s="11">
        <v>461384.56900000002</v>
      </c>
      <c r="R21" s="11">
        <v>470664.64299999998</v>
      </c>
      <c r="S21" s="11">
        <v>425026.16350000002</v>
      </c>
      <c r="T21" s="11">
        <v>374202.96950000001</v>
      </c>
      <c r="U21" s="11">
        <v>364539.47899999999</v>
      </c>
      <c r="V21" s="11">
        <v>336245.48249999998</v>
      </c>
      <c r="W21" s="11">
        <v>286896.625</v>
      </c>
      <c r="X21" s="11">
        <v>231398.72649999999</v>
      </c>
      <c r="Y21" s="11">
        <v>192126.86900000001</v>
      </c>
      <c r="Z21" s="11">
        <v>127635.603</v>
      </c>
      <c r="AA21" s="11">
        <v>79477.230500000005</v>
      </c>
      <c r="AB21" s="11">
        <v>51268.176500000001</v>
      </c>
      <c r="AC21" s="11">
        <v>24131.232499999998</v>
      </c>
      <c r="AD21" s="11">
        <v>8126.7475000000004</v>
      </c>
      <c r="AE21" s="11">
        <v>1558.0445</v>
      </c>
      <c r="AF21" s="11">
        <v>174.0855</v>
      </c>
    </row>
    <row r="22" spans="1:32" x14ac:dyDescent="0.4">
      <c r="A22" s="7">
        <v>1370</v>
      </c>
      <c r="B22" s="7" t="s">
        <v>32</v>
      </c>
      <c r="C22" s="13" t="s">
        <v>65</v>
      </c>
      <c r="D22" s="9" t="s">
        <v>62</v>
      </c>
      <c r="E22" s="9">
        <v>1502</v>
      </c>
      <c r="F22" s="9" t="s">
        <v>34</v>
      </c>
      <c r="G22" s="9" t="s">
        <v>34</v>
      </c>
      <c r="H22" s="9">
        <v>914</v>
      </c>
      <c r="I22" s="10" t="s">
        <v>63</v>
      </c>
      <c r="J22" s="9">
        <v>1517</v>
      </c>
      <c r="K22" s="9">
        <v>2020</v>
      </c>
      <c r="L22" s="11">
        <v>163700.9405</v>
      </c>
      <c r="M22" s="11">
        <v>176303.35449999999</v>
      </c>
      <c r="N22" s="11">
        <v>168418.28899999999</v>
      </c>
      <c r="O22" s="11">
        <v>160378.02549999999</v>
      </c>
      <c r="P22" s="11">
        <v>165050.66750000001</v>
      </c>
      <c r="Q22" s="11">
        <v>184460.28750000001</v>
      </c>
      <c r="R22" s="11">
        <v>210107.01699999999</v>
      </c>
      <c r="S22" s="11">
        <v>187151.66949999999</v>
      </c>
      <c r="T22" s="11">
        <v>167434.55499999999</v>
      </c>
      <c r="U22" s="11">
        <v>184230.22450000001</v>
      </c>
      <c r="V22" s="11">
        <v>181370.72399999999</v>
      </c>
      <c r="W22" s="11">
        <v>154820.33600000001</v>
      </c>
      <c r="X22" s="11">
        <v>123592.0575</v>
      </c>
      <c r="Y22" s="11">
        <v>110898.3435</v>
      </c>
      <c r="Z22" s="11">
        <v>74135.638999999996</v>
      </c>
      <c r="AA22" s="11">
        <v>46272.4355</v>
      </c>
      <c r="AB22" s="11">
        <v>31758.631000000001</v>
      </c>
      <c r="AC22" s="11">
        <v>15717.1335</v>
      </c>
      <c r="AD22" s="11">
        <v>5505.7169999999996</v>
      </c>
      <c r="AE22" s="11">
        <v>1057.5139999999999</v>
      </c>
      <c r="AF22" s="11">
        <v>113.5855</v>
      </c>
    </row>
    <row r="23" spans="1:32" x14ac:dyDescent="0.4">
      <c r="A23" s="7">
        <v>1442</v>
      </c>
      <c r="B23" s="7" t="s">
        <v>32</v>
      </c>
      <c r="C23" s="13" t="s">
        <v>66</v>
      </c>
      <c r="D23" s="9" t="s">
        <v>62</v>
      </c>
      <c r="E23" s="9">
        <v>1501</v>
      </c>
      <c r="F23" s="9" t="s">
        <v>34</v>
      </c>
      <c r="G23" s="9" t="s">
        <v>34</v>
      </c>
      <c r="H23" s="9">
        <v>912</v>
      </c>
      <c r="I23" s="10" t="s">
        <v>63</v>
      </c>
      <c r="J23" s="9">
        <v>1517</v>
      </c>
      <c r="K23" s="9">
        <v>2020</v>
      </c>
      <c r="L23" s="11">
        <v>338163.08350000001</v>
      </c>
      <c r="M23" s="11">
        <v>335405.14199999999</v>
      </c>
      <c r="N23" s="11">
        <v>323767.12650000001</v>
      </c>
      <c r="O23" s="11">
        <v>310710.81699999998</v>
      </c>
      <c r="P23" s="11">
        <v>291770.6005</v>
      </c>
      <c r="Q23" s="11">
        <v>276924.28149999998</v>
      </c>
      <c r="R23" s="11">
        <v>260557.62599999999</v>
      </c>
      <c r="S23" s="11">
        <v>237874.49400000001</v>
      </c>
      <c r="T23" s="11">
        <v>206768.41450000001</v>
      </c>
      <c r="U23" s="11">
        <v>180309.25450000001</v>
      </c>
      <c r="V23" s="11">
        <v>154874.7585</v>
      </c>
      <c r="W23" s="11">
        <v>132076.28899999999</v>
      </c>
      <c r="X23" s="11">
        <v>107806.66899999999</v>
      </c>
      <c r="Y23" s="11">
        <v>81228.525500000003</v>
      </c>
      <c r="Z23" s="11">
        <v>53499.964</v>
      </c>
      <c r="AA23" s="11">
        <v>33204.794999999998</v>
      </c>
      <c r="AB23" s="11">
        <v>19509.5455</v>
      </c>
      <c r="AC23" s="11">
        <v>8414.0990000000002</v>
      </c>
      <c r="AD23" s="11">
        <v>2621.0304999999998</v>
      </c>
      <c r="AE23" s="11">
        <v>500.53050000000002</v>
      </c>
      <c r="AF23" s="11">
        <v>60.5</v>
      </c>
    </row>
    <row r="24" spans="1:32" x14ac:dyDescent="0.4">
      <c r="A24" s="7">
        <v>1514</v>
      </c>
      <c r="B24" s="7" t="s">
        <v>32</v>
      </c>
      <c r="C24" s="12" t="s">
        <v>67</v>
      </c>
      <c r="D24" s="9" t="s">
        <v>62</v>
      </c>
      <c r="E24" s="9">
        <v>1500</v>
      </c>
      <c r="F24" s="9" t="s">
        <v>34</v>
      </c>
      <c r="G24" s="9" t="s">
        <v>34</v>
      </c>
      <c r="H24" s="9">
        <v>911</v>
      </c>
      <c r="I24" s="10" t="s">
        <v>63</v>
      </c>
      <c r="J24" s="9">
        <v>1802</v>
      </c>
      <c r="K24" s="9">
        <v>2020</v>
      </c>
      <c r="L24" s="11">
        <v>110225.6455</v>
      </c>
      <c r="M24" s="11">
        <v>98290.487500000003</v>
      </c>
      <c r="N24" s="11">
        <v>87637.714000000007</v>
      </c>
      <c r="O24" s="11">
        <v>75924.479999999996</v>
      </c>
      <c r="P24" s="11">
        <v>64675.364000000001</v>
      </c>
      <c r="Q24" s="11">
        <v>54238.15</v>
      </c>
      <c r="R24" s="11">
        <v>45261.873500000002</v>
      </c>
      <c r="S24" s="11">
        <v>37121.133500000004</v>
      </c>
      <c r="T24" s="11">
        <v>30158.107</v>
      </c>
      <c r="U24" s="11">
        <v>24900.9175</v>
      </c>
      <c r="V24" s="11">
        <v>20404.773000000001</v>
      </c>
      <c r="W24" s="11">
        <v>16004.744000000001</v>
      </c>
      <c r="X24" s="11">
        <v>12453.4535</v>
      </c>
      <c r="Y24" s="11">
        <v>8923.9555</v>
      </c>
      <c r="Z24" s="11">
        <v>6291.0865000000003</v>
      </c>
      <c r="AA24" s="11">
        <v>3858.7170000000001</v>
      </c>
      <c r="AB24" s="11">
        <v>1929.0625</v>
      </c>
      <c r="AC24" s="11">
        <v>691.86350000000004</v>
      </c>
      <c r="AD24" s="11">
        <v>168.10550000000001</v>
      </c>
      <c r="AE24" s="11">
        <v>24.32</v>
      </c>
      <c r="AF24" s="11">
        <v>2.5844999999999998</v>
      </c>
    </row>
    <row r="27" spans="1:32" x14ac:dyDescent="0.4">
      <c r="A27" s="14" t="s">
        <v>71</v>
      </c>
      <c r="L27" s="18" t="s">
        <v>72</v>
      </c>
    </row>
    <row r="28" spans="1:32" ht="23.15" x14ac:dyDescent="0.4">
      <c r="A28" s="1" t="s">
        <v>0</v>
      </c>
      <c r="B28" s="1" t="s">
        <v>1</v>
      </c>
      <c r="C28" s="2" t="s">
        <v>2</v>
      </c>
      <c r="D28" s="2" t="s">
        <v>3</v>
      </c>
      <c r="E28" s="3" t="s">
        <v>4</v>
      </c>
      <c r="F28" s="4" t="s">
        <v>5</v>
      </c>
      <c r="G28" s="4" t="s">
        <v>6</v>
      </c>
      <c r="H28" s="4" t="s">
        <v>7</v>
      </c>
      <c r="I28" s="5" t="s">
        <v>8</v>
      </c>
      <c r="J28" s="3" t="s">
        <v>9</v>
      </c>
      <c r="K28" s="3" t="s">
        <v>10</v>
      </c>
      <c r="L28" s="6" t="s">
        <v>11</v>
      </c>
      <c r="M28" s="6" t="s">
        <v>12</v>
      </c>
      <c r="N28" s="6" t="s">
        <v>13</v>
      </c>
      <c r="O28" s="6" t="s">
        <v>14</v>
      </c>
      <c r="P28" s="6" t="s">
        <v>15</v>
      </c>
      <c r="Q28" s="6" t="s">
        <v>16</v>
      </c>
      <c r="R28" s="6" t="s">
        <v>17</v>
      </c>
      <c r="S28" s="6" t="s">
        <v>18</v>
      </c>
      <c r="T28" s="6" t="s">
        <v>19</v>
      </c>
      <c r="U28" s="6" t="s">
        <v>20</v>
      </c>
      <c r="V28" s="6" t="s">
        <v>21</v>
      </c>
      <c r="W28" s="6" t="s">
        <v>22</v>
      </c>
      <c r="X28" s="6" t="s">
        <v>23</v>
      </c>
      <c r="Y28" s="6" t="s">
        <v>24</v>
      </c>
      <c r="Z28" s="6" t="s">
        <v>25</v>
      </c>
      <c r="AA28" s="6" t="s">
        <v>26</v>
      </c>
      <c r="AB28" s="6" t="s">
        <v>27</v>
      </c>
      <c r="AC28" s="6" t="s">
        <v>28</v>
      </c>
      <c r="AD28" s="6" t="s">
        <v>29</v>
      </c>
      <c r="AE28" s="6" t="s">
        <v>30</v>
      </c>
      <c r="AF28" s="6" t="s">
        <v>31</v>
      </c>
    </row>
    <row r="29" spans="1:32" x14ac:dyDescent="0.4">
      <c r="A29" s="7">
        <v>71</v>
      </c>
      <c r="B29" s="7" t="s">
        <v>32</v>
      </c>
      <c r="C29" s="15" t="s">
        <v>33</v>
      </c>
      <c r="D29" s="9" t="s">
        <v>34</v>
      </c>
      <c r="E29" s="9">
        <v>900</v>
      </c>
      <c r="F29" s="9" t="s">
        <v>34</v>
      </c>
      <c r="G29" s="9" t="s">
        <v>34</v>
      </c>
      <c r="H29" s="9">
        <v>1</v>
      </c>
      <c r="I29" s="10" t="s">
        <v>35</v>
      </c>
      <c r="J29" s="9">
        <v>0</v>
      </c>
      <c r="K29" s="9">
        <v>2020</v>
      </c>
      <c r="L29" s="11">
        <v>349488.397</v>
      </c>
      <c r="M29" s="11">
        <v>351560.24900000001</v>
      </c>
      <c r="N29" s="11">
        <v>337363.69099999999</v>
      </c>
      <c r="O29" s="11">
        <v>319816.71899999998</v>
      </c>
      <c r="P29" s="11">
        <v>308351.68349999998</v>
      </c>
      <c r="Q29" s="11">
        <v>306985.14799999999</v>
      </c>
      <c r="R29" s="11">
        <v>307163.72249999997</v>
      </c>
      <c r="S29" s="11">
        <v>279421.7905</v>
      </c>
      <c r="T29" s="11">
        <v>248929.27849999999</v>
      </c>
      <c r="U29" s="11">
        <v>240137.30499999999</v>
      </c>
      <c r="V29" s="11">
        <v>221073.24900000001</v>
      </c>
      <c r="W29" s="11">
        <v>190547.42300000001</v>
      </c>
      <c r="X29" s="11">
        <v>154990.17199999999</v>
      </c>
      <c r="Y29" s="11">
        <v>126676.0515</v>
      </c>
      <c r="Z29" s="11">
        <v>88188.063999999998</v>
      </c>
      <c r="AA29" s="11">
        <v>55412.777000000002</v>
      </c>
      <c r="AB29" s="11">
        <v>34587.608999999997</v>
      </c>
      <c r="AC29" s="11">
        <v>16353.919</v>
      </c>
      <c r="AD29" s="11">
        <v>5448.2314999999999</v>
      </c>
      <c r="AE29" s="11">
        <v>1013.4924999999999</v>
      </c>
      <c r="AF29" s="11">
        <v>103.22</v>
      </c>
    </row>
    <row r="30" spans="1:32" x14ac:dyDescent="0.4">
      <c r="A30" s="7">
        <v>144</v>
      </c>
      <c r="B30" s="7" t="s">
        <v>32</v>
      </c>
      <c r="C30" s="16" t="s">
        <v>36</v>
      </c>
      <c r="D30" s="9" t="s">
        <v>37</v>
      </c>
      <c r="E30" s="9">
        <v>1834</v>
      </c>
      <c r="F30" s="9" t="s">
        <v>34</v>
      </c>
      <c r="G30" s="9" t="s">
        <v>34</v>
      </c>
      <c r="H30" s="9">
        <v>202</v>
      </c>
      <c r="I30" s="10" t="s">
        <v>38</v>
      </c>
      <c r="J30" s="9">
        <v>1828</v>
      </c>
      <c r="K30" s="9">
        <v>2020</v>
      </c>
      <c r="L30" s="11">
        <v>88543.534</v>
      </c>
      <c r="M30" s="11">
        <v>78774.184999999998</v>
      </c>
      <c r="N30" s="11">
        <v>69800.441000000006</v>
      </c>
      <c r="O30" s="11">
        <v>59629.389499999997</v>
      </c>
      <c r="P30" s="11">
        <v>50181.953999999998</v>
      </c>
      <c r="Q30" s="11">
        <v>42643.589500000002</v>
      </c>
      <c r="R30" s="11">
        <v>36545.806499999999</v>
      </c>
      <c r="S30" s="11">
        <v>30722.446499999998</v>
      </c>
      <c r="T30" s="11">
        <v>24780.263500000001</v>
      </c>
      <c r="U30" s="11">
        <v>19633.262999999999</v>
      </c>
      <c r="V30" s="11">
        <v>15618.747499999999</v>
      </c>
      <c r="W30" s="11">
        <v>11953.343000000001</v>
      </c>
      <c r="X30" s="11">
        <v>8826.8435000000009</v>
      </c>
      <c r="Y30" s="11">
        <v>6373.6644999999999</v>
      </c>
      <c r="Z30" s="11">
        <v>4262.9589999999998</v>
      </c>
      <c r="AA30" s="11">
        <v>2495.4124999999999</v>
      </c>
      <c r="AB30" s="11">
        <v>1171.3385000000001</v>
      </c>
      <c r="AC30" s="11">
        <v>412.12349999999998</v>
      </c>
      <c r="AD30" s="11">
        <v>103.708</v>
      </c>
      <c r="AE30" s="11">
        <v>19.471</v>
      </c>
      <c r="AF30" s="11">
        <v>3.2650000000000001</v>
      </c>
    </row>
    <row r="31" spans="1:32" x14ac:dyDescent="0.4">
      <c r="A31" s="7">
        <v>216</v>
      </c>
      <c r="B31" s="7" t="s">
        <v>32</v>
      </c>
      <c r="C31" s="16" t="s">
        <v>39</v>
      </c>
      <c r="D31" s="9" t="s">
        <v>34</v>
      </c>
      <c r="E31" s="9">
        <v>1833</v>
      </c>
      <c r="F31" s="9" t="s">
        <v>34</v>
      </c>
      <c r="G31" s="9" t="s">
        <v>34</v>
      </c>
      <c r="H31" s="9">
        <v>747</v>
      </c>
      <c r="I31" s="10" t="s">
        <v>38</v>
      </c>
      <c r="J31" s="9">
        <v>1828</v>
      </c>
      <c r="K31" s="9">
        <v>2020</v>
      </c>
      <c r="L31" s="11">
        <v>29520.292000000001</v>
      </c>
      <c r="M31" s="11">
        <v>29296.426500000001</v>
      </c>
      <c r="N31" s="11">
        <v>26229.223000000002</v>
      </c>
      <c r="O31" s="11">
        <v>23468.199000000001</v>
      </c>
      <c r="P31" s="11">
        <v>22805.067500000001</v>
      </c>
      <c r="Q31" s="11">
        <v>23036.146000000001</v>
      </c>
      <c r="R31" s="11">
        <v>22795.878000000001</v>
      </c>
      <c r="S31" s="11">
        <v>21515.063999999998</v>
      </c>
      <c r="T31" s="11">
        <v>18892.182000000001</v>
      </c>
      <c r="U31" s="11">
        <v>15750.654</v>
      </c>
      <c r="V31" s="11">
        <v>13067.557000000001</v>
      </c>
      <c r="W31" s="11">
        <v>10311.512500000001</v>
      </c>
      <c r="X31" s="11">
        <v>7619.7740000000003</v>
      </c>
      <c r="Y31" s="11">
        <v>5389.6514999999999</v>
      </c>
      <c r="Z31" s="11">
        <v>3503.0819999999999</v>
      </c>
      <c r="AA31" s="11">
        <v>2001.3315</v>
      </c>
      <c r="AB31" s="11">
        <v>1118.3395</v>
      </c>
      <c r="AC31" s="11">
        <v>431.83749999999998</v>
      </c>
      <c r="AD31" s="11">
        <v>105.82850000000001</v>
      </c>
      <c r="AE31" s="11">
        <v>14.845499999999999</v>
      </c>
      <c r="AF31" s="11">
        <v>1.3640000000000001</v>
      </c>
    </row>
    <row r="32" spans="1:32" x14ac:dyDescent="0.4">
      <c r="A32" s="7">
        <v>288</v>
      </c>
      <c r="B32" s="7" t="s">
        <v>32</v>
      </c>
      <c r="C32" s="16" t="s">
        <v>40</v>
      </c>
      <c r="D32" s="9" t="s">
        <v>34</v>
      </c>
      <c r="E32" s="9">
        <v>1831</v>
      </c>
      <c r="F32" s="9" t="s">
        <v>34</v>
      </c>
      <c r="G32" s="9" t="s">
        <v>34</v>
      </c>
      <c r="H32" s="9">
        <v>62</v>
      </c>
      <c r="I32" s="10" t="s">
        <v>38</v>
      </c>
      <c r="J32" s="9">
        <v>1828</v>
      </c>
      <c r="K32" s="9">
        <v>2020</v>
      </c>
      <c r="L32" s="11">
        <v>97063.863500000007</v>
      </c>
      <c r="M32" s="11">
        <v>99183.407999999996</v>
      </c>
      <c r="N32" s="11">
        <v>99394.05</v>
      </c>
      <c r="O32" s="11">
        <v>99448.089000000007</v>
      </c>
      <c r="P32" s="11">
        <v>94805.547999999995</v>
      </c>
      <c r="Q32" s="11">
        <v>89678.273499999996</v>
      </c>
      <c r="R32" s="11">
        <v>83804.106499999994</v>
      </c>
      <c r="S32" s="11">
        <v>75201.040500000003</v>
      </c>
      <c r="T32" s="11">
        <v>64849.911</v>
      </c>
      <c r="U32" s="11">
        <v>56815.083500000001</v>
      </c>
      <c r="V32" s="11">
        <v>48966.306499999999</v>
      </c>
      <c r="W32" s="11">
        <v>41691.760499999997</v>
      </c>
      <c r="X32" s="11">
        <v>33874.36</v>
      </c>
      <c r="Y32" s="11">
        <v>25702.051500000001</v>
      </c>
      <c r="Z32" s="11">
        <v>16336.6585</v>
      </c>
      <c r="AA32" s="11">
        <v>9661.3080000000009</v>
      </c>
      <c r="AB32" s="11">
        <v>5288.4094999999998</v>
      </c>
      <c r="AC32" s="11">
        <v>2221.3274999999999</v>
      </c>
      <c r="AD32" s="11">
        <v>674.42949999999996</v>
      </c>
      <c r="AE32" s="11">
        <v>125.8425</v>
      </c>
      <c r="AF32" s="11">
        <v>15.6485</v>
      </c>
    </row>
    <row r="33" spans="1:32" x14ac:dyDescent="0.4">
      <c r="A33" s="7">
        <v>360</v>
      </c>
      <c r="B33" s="7" t="s">
        <v>32</v>
      </c>
      <c r="C33" s="16" t="s">
        <v>41</v>
      </c>
      <c r="D33" s="9" t="s">
        <v>34</v>
      </c>
      <c r="E33" s="9">
        <v>1832</v>
      </c>
      <c r="F33" s="9" t="s">
        <v>34</v>
      </c>
      <c r="G33" s="9" t="s">
        <v>34</v>
      </c>
      <c r="H33" s="9">
        <v>753</v>
      </c>
      <c r="I33" s="10" t="s">
        <v>38</v>
      </c>
      <c r="J33" s="9">
        <v>1828</v>
      </c>
      <c r="K33" s="9">
        <v>2020</v>
      </c>
      <c r="L33" s="11">
        <v>76616.265499999994</v>
      </c>
      <c r="M33" s="11">
        <v>83300.661999999997</v>
      </c>
      <c r="N33" s="11">
        <v>80357.876000000004</v>
      </c>
      <c r="O33" s="11">
        <v>76508.964500000002</v>
      </c>
      <c r="P33" s="11">
        <v>78656.745999999999</v>
      </c>
      <c r="Q33" s="11">
        <v>87087.330499999996</v>
      </c>
      <c r="R33" s="11">
        <v>97436.751499999998</v>
      </c>
      <c r="S33" s="11">
        <v>87387.358999999997</v>
      </c>
      <c r="T33" s="11">
        <v>79554.810500000007</v>
      </c>
      <c r="U33" s="11">
        <v>89874.982499999998</v>
      </c>
      <c r="V33" s="11">
        <v>87654.673999999999</v>
      </c>
      <c r="W33" s="11">
        <v>72879.620500000005</v>
      </c>
      <c r="X33" s="11">
        <v>56975.232000000004</v>
      </c>
      <c r="Y33" s="11">
        <v>49943.6875</v>
      </c>
      <c r="Z33" s="11">
        <v>33772.097500000003</v>
      </c>
      <c r="AA33" s="11">
        <v>21117.524000000001</v>
      </c>
      <c r="AB33" s="11">
        <v>13029.617</v>
      </c>
      <c r="AC33" s="11">
        <v>6163.3280000000004</v>
      </c>
      <c r="AD33" s="11">
        <v>1882.2245</v>
      </c>
      <c r="AE33" s="11">
        <v>307.08350000000002</v>
      </c>
      <c r="AF33" s="11">
        <v>27.7605</v>
      </c>
    </row>
    <row r="34" spans="1:32" x14ac:dyDescent="0.4">
      <c r="A34" s="7">
        <v>432</v>
      </c>
      <c r="B34" s="7" t="s">
        <v>32</v>
      </c>
      <c r="C34" s="16" t="s">
        <v>42</v>
      </c>
      <c r="D34" s="9" t="s">
        <v>34</v>
      </c>
      <c r="E34" s="9">
        <v>1830</v>
      </c>
      <c r="F34" s="9" t="s">
        <v>34</v>
      </c>
      <c r="G34" s="9" t="s">
        <v>34</v>
      </c>
      <c r="H34" s="9">
        <v>419</v>
      </c>
      <c r="I34" s="10" t="s">
        <v>38</v>
      </c>
      <c r="J34" s="9">
        <v>1828</v>
      </c>
      <c r="K34" s="9">
        <v>2020</v>
      </c>
      <c r="L34" s="11">
        <v>25723.345000000001</v>
      </c>
      <c r="M34" s="11">
        <v>26684.719499999999</v>
      </c>
      <c r="N34" s="11">
        <v>26903.525000000001</v>
      </c>
      <c r="O34" s="11">
        <v>27203.4575</v>
      </c>
      <c r="P34" s="11">
        <v>27299.047500000001</v>
      </c>
      <c r="Q34" s="11">
        <v>26583.145</v>
      </c>
      <c r="R34" s="11">
        <v>25509.622500000001</v>
      </c>
      <c r="S34" s="11">
        <v>23957.389500000001</v>
      </c>
      <c r="T34" s="11">
        <v>21781.200499999999</v>
      </c>
      <c r="U34" s="11">
        <v>19462.5995</v>
      </c>
      <c r="V34" s="11">
        <v>17375.945</v>
      </c>
      <c r="W34" s="11">
        <v>15269.998</v>
      </c>
      <c r="X34" s="11">
        <v>12405.486000000001</v>
      </c>
      <c r="Y34" s="11">
        <v>9561.8979999999992</v>
      </c>
      <c r="Z34" s="11">
        <v>6784.5775000000003</v>
      </c>
      <c r="AA34" s="11">
        <v>4514.7129999999997</v>
      </c>
      <c r="AB34" s="11">
        <v>2653.5974999999999</v>
      </c>
      <c r="AC34" s="11">
        <v>1171.5435</v>
      </c>
      <c r="AD34" s="11">
        <v>375.29149999999998</v>
      </c>
      <c r="AE34" s="11">
        <v>81.317499999999995</v>
      </c>
      <c r="AF34" s="11">
        <v>9.6285000000000007</v>
      </c>
    </row>
    <row r="35" spans="1:32" x14ac:dyDescent="0.4">
      <c r="A35" s="7">
        <v>504</v>
      </c>
      <c r="B35" s="7" t="s">
        <v>32</v>
      </c>
      <c r="C35" s="16" t="s">
        <v>43</v>
      </c>
      <c r="D35" s="9" t="s">
        <v>34</v>
      </c>
      <c r="E35" s="9">
        <v>1835</v>
      </c>
      <c r="F35" s="9" t="s">
        <v>34</v>
      </c>
      <c r="G35" s="9" t="s">
        <v>34</v>
      </c>
      <c r="H35" s="9">
        <v>543</v>
      </c>
      <c r="I35" s="10" t="s">
        <v>38</v>
      </c>
      <c r="J35" s="9">
        <v>1828</v>
      </c>
      <c r="K35" s="9">
        <v>2020</v>
      </c>
      <c r="L35" s="11">
        <v>816.31799999999998</v>
      </c>
      <c r="M35" s="11">
        <v>785.15449999999998</v>
      </c>
      <c r="N35" s="11">
        <v>734.72950000000003</v>
      </c>
      <c r="O35" s="11">
        <v>678.18949999999995</v>
      </c>
      <c r="P35" s="11">
        <v>617.46950000000004</v>
      </c>
      <c r="Q35" s="11">
        <v>564.21950000000004</v>
      </c>
      <c r="R35" s="11">
        <v>501.959</v>
      </c>
      <c r="S35" s="11">
        <v>436.16950000000003</v>
      </c>
      <c r="T35" s="11">
        <v>379.66550000000001</v>
      </c>
      <c r="U35" s="11">
        <v>328.65449999999998</v>
      </c>
      <c r="V35" s="11">
        <v>283.024</v>
      </c>
      <c r="W35" s="11">
        <v>234.54050000000001</v>
      </c>
      <c r="X35" s="11">
        <v>170.3115</v>
      </c>
      <c r="Y35" s="11">
        <v>111.324</v>
      </c>
      <c r="Z35" s="11">
        <v>71.343000000000004</v>
      </c>
      <c r="AA35" s="11">
        <v>39.344999999999999</v>
      </c>
      <c r="AB35" s="11">
        <v>18.788</v>
      </c>
      <c r="AC35" s="11">
        <v>6.9740000000000002</v>
      </c>
      <c r="AD35" s="11">
        <v>1.9944999999999999</v>
      </c>
      <c r="AE35" s="11">
        <v>0.39050000000000001</v>
      </c>
      <c r="AF35" s="11">
        <v>4.4499999999999998E-2</v>
      </c>
    </row>
    <row r="36" spans="1:32" x14ac:dyDescent="0.4">
      <c r="A36" s="7">
        <v>576</v>
      </c>
      <c r="B36" s="7" t="s">
        <v>32</v>
      </c>
      <c r="C36" s="16" t="s">
        <v>44</v>
      </c>
      <c r="D36" s="9" t="s">
        <v>34</v>
      </c>
      <c r="E36" s="9">
        <v>1836</v>
      </c>
      <c r="F36" s="9" t="s">
        <v>34</v>
      </c>
      <c r="G36" s="9" t="s">
        <v>34</v>
      </c>
      <c r="H36" s="9">
        <v>53</v>
      </c>
      <c r="I36" s="10" t="s">
        <v>38</v>
      </c>
      <c r="J36" s="9">
        <v>1828</v>
      </c>
      <c r="K36" s="9">
        <v>2020</v>
      </c>
      <c r="L36" s="11">
        <v>957.95150000000001</v>
      </c>
      <c r="M36" s="11">
        <v>998.4325</v>
      </c>
      <c r="N36" s="11">
        <v>982.12149999999997</v>
      </c>
      <c r="O36" s="11">
        <v>926.74099999999999</v>
      </c>
      <c r="P36" s="11">
        <v>1055.9804999999999</v>
      </c>
      <c r="Q36" s="11">
        <v>1170.7474999999999</v>
      </c>
      <c r="R36" s="11">
        <v>1139.8779999999999</v>
      </c>
      <c r="S36" s="11">
        <v>1076.6704999999999</v>
      </c>
      <c r="T36" s="11">
        <v>960.86</v>
      </c>
      <c r="U36" s="11">
        <v>985.16949999999997</v>
      </c>
      <c r="V36" s="11">
        <v>924.44550000000004</v>
      </c>
      <c r="W36" s="11">
        <v>913.74950000000001</v>
      </c>
      <c r="X36" s="11">
        <v>830.76</v>
      </c>
      <c r="Y36" s="11">
        <v>722.91099999999994</v>
      </c>
      <c r="Z36" s="11">
        <v>637.61300000000006</v>
      </c>
      <c r="AA36" s="11">
        <v>438.37650000000002</v>
      </c>
      <c r="AB36" s="11">
        <v>283.02699999999999</v>
      </c>
      <c r="AC36" s="11">
        <v>155.93600000000001</v>
      </c>
      <c r="AD36" s="11">
        <v>68.135499999999993</v>
      </c>
      <c r="AE36" s="11">
        <v>15.0755</v>
      </c>
      <c r="AF36" s="11">
        <v>1.482</v>
      </c>
    </row>
    <row r="37" spans="1:32" x14ac:dyDescent="0.4">
      <c r="A37" s="7">
        <v>648</v>
      </c>
      <c r="B37" s="7" t="s">
        <v>32</v>
      </c>
      <c r="C37" s="16" t="s">
        <v>45</v>
      </c>
      <c r="D37" s="9" t="s">
        <v>34</v>
      </c>
      <c r="E37" s="9">
        <v>1829</v>
      </c>
      <c r="F37" s="9" t="s">
        <v>34</v>
      </c>
      <c r="G37" s="9" t="s">
        <v>34</v>
      </c>
      <c r="H37" s="9">
        <v>513</v>
      </c>
      <c r="I37" s="10" t="s">
        <v>38</v>
      </c>
      <c r="J37" s="9">
        <v>1828</v>
      </c>
      <c r="K37" s="9">
        <v>2020</v>
      </c>
      <c r="L37" s="11">
        <v>30246.827499999999</v>
      </c>
      <c r="M37" s="11">
        <v>32537.260999999999</v>
      </c>
      <c r="N37" s="11">
        <v>32961.724999999999</v>
      </c>
      <c r="O37" s="11">
        <v>31953.688999999998</v>
      </c>
      <c r="P37" s="11">
        <v>32929.870499999997</v>
      </c>
      <c r="Q37" s="11">
        <v>36221.696499999998</v>
      </c>
      <c r="R37" s="11">
        <v>39429.720500000003</v>
      </c>
      <c r="S37" s="11">
        <v>39125.650999999998</v>
      </c>
      <c r="T37" s="11">
        <v>37730.385499999997</v>
      </c>
      <c r="U37" s="11">
        <v>37286.898500000003</v>
      </c>
      <c r="V37" s="11">
        <v>37182.549500000001</v>
      </c>
      <c r="W37" s="11">
        <v>37292.898500000003</v>
      </c>
      <c r="X37" s="11">
        <v>34287.404999999999</v>
      </c>
      <c r="Y37" s="11">
        <v>28870.863499999999</v>
      </c>
      <c r="Z37" s="11">
        <v>22819.733499999998</v>
      </c>
      <c r="AA37" s="11">
        <v>15144.7665</v>
      </c>
      <c r="AB37" s="11">
        <v>11024.492</v>
      </c>
      <c r="AC37" s="11">
        <v>5790.8490000000002</v>
      </c>
      <c r="AD37" s="11">
        <v>2236.6194999999998</v>
      </c>
      <c r="AE37" s="11">
        <v>449.4665</v>
      </c>
      <c r="AF37" s="11">
        <v>44.027000000000001</v>
      </c>
    </row>
    <row r="38" spans="1:32" x14ac:dyDescent="0.4">
      <c r="A38" s="7">
        <v>721</v>
      </c>
      <c r="B38" s="7" t="s">
        <v>32</v>
      </c>
      <c r="C38" s="16" t="s">
        <v>46</v>
      </c>
      <c r="D38" s="9" t="s">
        <v>47</v>
      </c>
      <c r="E38" s="9">
        <v>901</v>
      </c>
      <c r="F38" s="9" t="s">
        <v>34</v>
      </c>
      <c r="G38" s="9" t="s">
        <v>34</v>
      </c>
      <c r="H38" s="9">
        <v>514</v>
      </c>
      <c r="I38" s="10" t="s">
        <v>48</v>
      </c>
      <c r="J38" s="9">
        <v>1803</v>
      </c>
      <c r="K38" s="9">
        <v>2020</v>
      </c>
      <c r="L38" s="11">
        <v>33471.267999999996</v>
      </c>
      <c r="M38" s="11">
        <v>36139.934000000001</v>
      </c>
      <c r="N38" s="11">
        <v>36704.604500000001</v>
      </c>
      <c r="O38" s="11">
        <v>35799.974499999997</v>
      </c>
      <c r="P38" s="11">
        <v>37071.4205</v>
      </c>
      <c r="Q38" s="11">
        <v>40515.171499999997</v>
      </c>
      <c r="R38" s="11">
        <v>43896.425999999999</v>
      </c>
      <c r="S38" s="11">
        <v>43845.947500000002</v>
      </c>
      <c r="T38" s="11">
        <v>42946.863499999999</v>
      </c>
      <c r="U38" s="11">
        <v>43162.709000000003</v>
      </c>
      <c r="V38" s="11">
        <v>42388.906999999999</v>
      </c>
      <c r="W38" s="11">
        <v>42129.89</v>
      </c>
      <c r="X38" s="11">
        <v>38761.108</v>
      </c>
      <c r="Y38" s="11">
        <v>33543.368499999997</v>
      </c>
      <c r="Z38" s="11">
        <v>27878.637999999999</v>
      </c>
      <c r="AA38" s="11">
        <v>18859.516</v>
      </c>
      <c r="AB38" s="11">
        <v>13662.251</v>
      </c>
      <c r="AC38" s="11">
        <v>7358.2169999999996</v>
      </c>
      <c r="AD38" s="11">
        <v>2900.0394999999999</v>
      </c>
      <c r="AE38" s="11">
        <v>598.22500000000002</v>
      </c>
      <c r="AF38" s="11">
        <v>60.585999999999999</v>
      </c>
    </row>
    <row r="39" spans="1:32" x14ac:dyDescent="0.4">
      <c r="A39" s="7">
        <v>793</v>
      </c>
      <c r="B39" s="7" t="s">
        <v>32</v>
      </c>
      <c r="C39" s="16" t="s">
        <v>49</v>
      </c>
      <c r="D39" s="9" t="s">
        <v>50</v>
      </c>
      <c r="E39" s="9">
        <v>902</v>
      </c>
      <c r="F39" s="9" t="s">
        <v>34</v>
      </c>
      <c r="G39" s="9" t="s">
        <v>34</v>
      </c>
      <c r="H39" s="9">
        <v>515</v>
      </c>
      <c r="I39" s="10" t="s">
        <v>48</v>
      </c>
      <c r="J39" s="9">
        <v>1803</v>
      </c>
      <c r="K39" s="9">
        <v>2020</v>
      </c>
      <c r="L39" s="11">
        <v>316017.12900000002</v>
      </c>
      <c r="M39" s="11">
        <v>315420.315</v>
      </c>
      <c r="N39" s="11">
        <v>300659.08649999998</v>
      </c>
      <c r="O39" s="11">
        <v>284016.74449999997</v>
      </c>
      <c r="P39" s="11">
        <v>271280.26299999998</v>
      </c>
      <c r="Q39" s="11">
        <v>266469.97649999999</v>
      </c>
      <c r="R39" s="11">
        <v>263267.2965</v>
      </c>
      <c r="S39" s="11">
        <v>235575.84299999999</v>
      </c>
      <c r="T39" s="11">
        <v>205982.41500000001</v>
      </c>
      <c r="U39" s="11">
        <v>196974.59599999999</v>
      </c>
      <c r="V39" s="11">
        <v>178684.342</v>
      </c>
      <c r="W39" s="11">
        <v>148417.533</v>
      </c>
      <c r="X39" s="11">
        <v>116229.064</v>
      </c>
      <c r="Y39" s="11">
        <v>93132.683000000005</v>
      </c>
      <c r="Z39" s="11">
        <v>60309.425999999999</v>
      </c>
      <c r="AA39" s="11">
        <v>36553.260999999999</v>
      </c>
      <c r="AB39" s="11">
        <v>20925.358</v>
      </c>
      <c r="AC39" s="11">
        <v>8995.7019999999993</v>
      </c>
      <c r="AD39" s="11">
        <v>2548.192</v>
      </c>
      <c r="AE39" s="11">
        <v>415.26749999999998</v>
      </c>
      <c r="AF39" s="11">
        <v>42.634</v>
      </c>
    </row>
    <row r="40" spans="1:32" x14ac:dyDescent="0.4">
      <c r="A40" s="7">
        <v>865</v>
      </c>
      <c r="B40" s="7" t="s">
        <v>32</v>
      </c>
      <c r="C40" s="17" t="s">
        <v>51</v>
      </c>
      <c r="D40" s="9" t="s">
        <v>52</v>
      </c>
      <c r="E40" s="9">
        <v>941</v>
      </c>
      <c r="F40" s="9" t="s">
        <v>34</v>
      </c>
      <c r="G40" s="9" t="s">
        <v>34</v>
      </c>
      <c r="H40" s="9">
        <v>199</v>
      </c>
      <c r="I40" s="10" t="s">
        <v>48</v>
      </c>
      <c r="J40" s="9">
        <v>902</v>
      </c>
      <c r="K40" s="9">
        <v>2020</v>
      </c>
      <c r="L40" s="11">
        <v>78551.884999999995</v>
      </c>
      <c r="M40" s="11">
        <v>70577.572</v>
      </c>
      <c r="N40" s="11">
        <v>64232.133999999998</v>
      </c>
      <c r="O40" s="11">
        <v>57528.430500000002</v>
      </c>
      <c r="P40" s="11">
        <v>49828.964500000002</v>
      </c>
      <c r="Q40" s="11">
        <v>42664.046000000002</v>
      </c>
      <c r="R40" s="11">
        <v>36428.455000000002</v>
      </c>
      <c r="S40" s="11">
        <v>30662.93</v>
      </c>
      <c r="T40" s="11">
        <v>25064.580999999998</v>
      </c>
      <c r="U40" s="11">
        <v>20676.705000000002</v>
      </c>
      <c r="V40" s="11">
        <v>16839.909500000002</v>
      </c>
      <c r="W40" s="11">
        <v>13271.220499999999</v>
      </c>
      <c r="X40" s="11">
        <v>10301.126</v>
      </c>
      <c r="Y40" s="11">
        <v>7521.049</v>
      </c>
      <c r="Z40" s="11">
        <v>4894.4544999999998</v>
      </c>
      <c r="AA40" s="11">
        <v>2916.0464999999999</v>
      </c>
      <c r="AB40" s="11">
        <v>1399.713</v>
      </c>
      <c r="AC40" s="11">
        <v>492.28500000000003</v>
      </c>
      <c r="AD40" s="11">
        <v>107.3595</v>
      </c>
      <c r="AE40" s="11">
        <v>12.41</v>
      </c>
      <c r="AF40" s="11">
        <v>0.97299999999999998</v>
      </c>
    </row>
    <row r="41" spans="1:32" x14ac:dyDescent="0.4">
      <c r="A41" s="7">
        <v>937</v>
      </c>
      <c r="B41" s="7" t="s">
        <v>32</v>
      </c>
      <c r="C41" s="17" t="s">
        <v>53</v>
      </c>
      <c r="D41" s="9" t="s">
        <v>54</v>
      </c>
      <c r="E41" s="9">
        <v>934</v>
      </c>
      <c r="F41" s="9" t="s">
        <v>34</v>
      </c>
      <c r="G41" s="9" t="s">
        <v>34</v>
      </c>
      <c r="H41" s="9" t="s">
        <v>34</v>
      </c>
      <c r="I41" s="10" t="s">
        <v>48</v>
      </c>
      <c r="J41" s="9">
        <v>902</v>
      </c>
      <c r="K41" s="9">
        <v>2020</v>
      </c>
      <c r="L41" s="11">
        <v>237465.24400000001</v>
      </c>
      <c r="M41" s="11">
        <v>244842.74299999999</v>
      </c>
      <c r="N41" s="11">
        <v>236426.95250000001</v>
      </c>
      <c r="O41" s="11">
        <v>226488.31400000001</v>
      </c>
      <c r="P41" s="11">
        <v>221451.2985</v>
      </c>
      <c r="Q41" s="11">
        <v>223805.93049999999</v>
      </c>
      <c r="R41" s="11">
        <v>226838.84150000001</v>
      </c>
      <c r="S41" s="11">
        <v>204912.913</v>
      </c>
      <c r="T41" s="11">
        <v>180917.834</v>
      </c>
      <c r="U41" s="11">
        <v>176297.891</v>
      </c>
      <c r="V41" s="11">
        <v>161844.4325</v>
      </c>
      <c r="W41" s="11">
        <v>135146.3125</v>
      </c>
      <c r="X41" s="11">
        <v>105927.93799999999</v>
      </c>
      <c r="Y41" s="11">
        <v>85611.634000000005</v>
      </c>
      <c r="Z41" s="11">
        <v>55414.9715</v>
      </c>
      <c r="AA41" s="11">
        <v>33637.214500000002</v>
      </c>
      <c r="AB41" s="11">
        <v>19525.645</v>
      </c>
      <c r="AC41" s="11">
        <v>8503.4169999999995</v>
      </c>
      <c r="AD41" s="11">
        <v>2440.8325</v>
      </c>
      <c r="AE41" s="11">
        <v>402.85750000000002</v>
      </c>
      <c r="AF41" s="11">
        <v>41.661000000000001</v>
      </c>
    </row>
    <row r="42" spans="1:32" x14ac:dyDescent="0.4">
      <c r="A42" s="7">
        <v>1009</v>
      </c>
      <c r="B42" s="7" t="s">
        <v>32</v>
      </c>
      <c r="C42" s="16" t="s">
        <v>55</v>
      </c>
      <c r="D42" s="9" t="s">
        <v>34</v>
      </c>
      <c r="E42" s="9">
        <v>948</v>
      </c>
      <c r="F42" s="9" t="s">
        <v>34</v>
      </c>
      <c r="G42" s="9" t="s">
        <v>34</v>
      </c>
      <c r="H42" s="9" t="s">
        <v>34</v>
      </c>
      <c r="I42" s="10" t="s">
        <v>48</v>
      </c>
      <c r="J42" s="9">
        <v>1803</v>
      </c>
      <c r="K42" s="9">
        <v>2020</v>
      </c>
      <c r="L42" s="11">
        <v>272215.91950000002</v>
      </c>
      <c r="M42" s="11">
        <v>266130.19900000002</v>
      </c>
      <c r="N42" s="11">
        <v>253895.85399999999</v>
      </c>
      <c r="O42" s="11">
        <v>240431.53049999999</v>
      </c>
      <c r="P42" s="11">
        <v>226080.44399999999</v>
      </c>
      <c r="Q42" s="11">
        <v>212948.85500000001</v>
      </c>
      <c r="R42" s="11">
        <v>198302.08749999999</v>
      </c>
      <c r="S42" s="11">
        <v>180556.111</v>
      </c>
      <c r="T42" s="11">
        <v>157115.1735</v>
      </c>
      <c r="U42" s="11">
        <v>136647.889</v>
      </c>
      <c r="V42" s="11">
        <v>117557.5955</v>
      </c>
      <c r="W42" s="11">
        <v>98769.728000000003</v>
      </c>
      <c r="X42" s="11">
        <v>78611.021500000003</v>
      </c>
      <c r="Y42" s="11">
        <v>58050.898500000003</v>
      </c>
      <c r="Z42" s="11">
        <v>38038.394500000002</v>
      </c>
      <c r="AA42" s="11">
        <v>23106.679</v>
      </c>
      <c r="AB42" s="11">
        <v>12734.839</v>
      </c>
      <c r="AC42" s="11">
        <v>5257.7484999999997</v>
      </c>
      <c r="AD42" s="11">
        <v>1545.617</v>
      </c>
      <c r="AE42" s="11">
        <v>295.54000000000002</v>
      </c>
      <c r="AF42" s="11">
        <v>38.424500000000002</v>
      </c>
    </row>
    <row r="43" spans="1:32" x14ac:dyDescent="0.4">
      <c r="A43" s="7">
        <v>1081</v>
      </c>
      <c r="B43" s="7" t="s">
        <v>32</v>
      </c>
      <c r="C43" s="16" t="s">
        <v>56</v>
      </c>
      <c r="D43" s="9" t="s">
        <v>57</v>
      </c>
      <c r="E43" s="9">
        <v>1636</v>
      </c>
      <c r="F43" s="9" t="s">
        <v>34</v>
      </c>
      <c r="G43" s="9" t="s">
        <v>34</v>
      </c>
      <c r="H43" s="9">
        <v>432</v>
      </c>
      <c r="I43" s="10" t="s">
        <v>58</v>
      </c>
      <c r="J43" s="9">
        <v>1803</v>
      </c>
      <c r="K43" s="9">
        <v>2020</v>
      </c>
      <c r="L43" s="11">
        <v>39694.868499999997</v>
      </c>
      <c r="M43" s="11">
        <v>36079.608500000002</v>
      </c>
      <c r="N43" s="11">
        <v>32383.2935</v>
      </c>
      <c r="O43" s="11">
        <v>28389.692999999999</v>
      </c>
      <c r="P43" s="11">
        <v>24635.698499999999</v>
      </c>
      <c r="Q43" s="11">
        <v>21531.962</v>
      </c>
      <c r="R43" s="11">
        <v>18463.565500000001</v>
      </c>
      <c r="S43" s="11">
        <v>15208.022999999999</v>
      </c>
      <c r="T43" s="11">
        <v>12394.130999999999</v>
      </c>
      <c r="U43" s="11">
        <v>10028.054</v>
      </c>
      <c r="V43" s="11">
        <v>8195.6080000000002</v>
      </c>
      <c r="W43" s="11">
        <v>6742.1040000000003</v>
      </c>
      <c r="X43" s="11">
        <v>5169.8464999999997</v>
      </c>
      <c r="Y43" s="11">
        <v>3627.9364999999998</v>
      </c>
      <c r="Z43" s="11">
        <v>2264.8319999999999</v>
      </c>
      <c r="AA43" s="11">
        <v>1286.8095000000001</v>
      </c>
      <c r="AB43" s="11">
        <v>667.72950000000003</v>
      </c>
      <c r="AC43" s="11">
        <v>227.33</v>
      </c>
      <c r="AD43" s="11">
        <v>52.932000000000002</v>
      </c>
      <c r="AE43" s="11">
        <v>6.7140000000000004</v>
      </c>
      <c r="AF43" s="11">
        <v>0.753</v>
      </c>
    </row>
    <row r="44" spans="1:32" x14ac:dyDescent="0.4">
      <c r="A44" s="7">
        <v>1153</v>
      </c>
      <c r="B44" s="7" t="s">
        <v>32</v>
      </c>
      <c r="C44" s="16" t="s">
        <v>59</v>
      </c>
      <c r="D44" s="9" t="s">
        <v>60</v>
      </c>
      <c r="E44" s="9">
        <v>1637</v>
      </c>
      <c r="F44" s="9" t="s">
        <v>34</v>
      </c>
      <c r="G44" s="9" t="s">
        <v>34</v>
      </c>
      <c r="H44" s="9">
        <v>722</v>
      </c>
      <c r="I44" s="10" t="s">
        <v>58</v>
      </c>
      <c r="J44" s="9">
        <v>1803</v>
      </c>
      <c r="K44" s="9">
        <v>2020</v>
      </c>
      <c r="L44" s="11">
        <v>3213.1970000000001</v>
      </c>
      <c r="M44" s="11">
        <v>3197.9214999999999</v>
      </c>
      <c r="N44" s="11">
        <v>3103.0810000000001</v>
      </c>
      <c r="O44" s="11">
        <v>3051.9254999999998</v>
      </c>
      <c r="P44" s="11">
        <v>3059.8364999999999</v>
      </c>
      <c r="Q44" s="11">
        <v>3005.0005000000001</v>
      </c>
      <c r="R44" s="11">
        <v>2878.9349999999999</v>
      </c>
      <c r="S44" s="11">
        <v>2584.2044999999998</v>
      </c>
      <c r="T44" s="11">
        <v>2315.7869999999998</v>
      </c>
      <c r="U44" s="11">
        <v>2226.1979999999999</v>
      </c>
      <c r="V44" s="11">
        <v>2062.7370000000001</v>
      </c>
      <c r="W44" s="11">
        <v>1867.867</v>
      </c>
      <c r="X44" s="11">
        <v>1450.761</v>
      </c>
      <c r="Y44" s="11">
        <v>1108.7204999999999</v>
      </c>
      <c r="Z44" s="11">
        <v>761.01549999999997</v>
      </c>
      <c r="AA44" s="11">
        <v>494.09350000000001</v>
      </c>
      <c r="AB44" s="11">
        <v>295.15750000000003</v>
      </c>
      <c r="AC44" s="11">
        <v>141.9195</v>
      </c>
      <c r="AD44" s="11">
        <v>53.055500000000002</v>
      </c>
      <c r="AE44" s="11">
        <v>13.193</v>
      </c>
      <c r="AF44" s="11">
        <v>2.149</v>
      </c>
    </row>
    <row r="45" spans="1:32" x14ac:dyDescent="0.4">
      <c r="A45" s="7">
        <v>1226</v>
      </c>
      <c r="B45" s="7" t="s">
        <v>32</v>
      </c>
      <c r="C45" s="16" t="s">
        <v>61</v>
      </c>
      <c r="D45" s="9" t="s">
        <v>62</v>
      </c>
      <c r="E45" s="9">
        <v>1503</v>
      </c>
      <c r="F45" s="9" t="s">
        <v>34</v>
      </c>
      <c r="G45" s="9" t="s">
        <v>34</v>
      </c>
      <c r="H45" s="9">
        <v>910</v>
      </c>
      <c r="I45" s="10" t="s">
        <v>63</v>
      </c>
      <c r="J45" s="9">
        <v>1802</v>
      </c>
      <c r="K45" s="9">
        <v>2020</v>
      </c>
      <c r="L45" s="11">
        <v>33046.788999999997</v>
      </c>
      <c r="M45" s="11">
        <v>35165.173999999999</v>
      </c>
      <c r="N45" s="11">
        <v>36135.464500000002</v>
      </c>
      <c r="O45" s="11">
        <v>35856.718500000003</v>
      </c>
      <c r="P45" s="11">
        <v>38546.258000000002</v>
      </c>
      <c r="Q45" s="11">
        <v>41784.941500000001</v>
      </c>
      <c r="R45" s="11">
        <v>43294.983999999997</v>
      </c>
      <c r="S45" s="11">
        <v>44179.866999999998</v>
      </c>
      <c r="T45" s="11">
        <v>43899.517500000002</v>
      </c>
      <c r="U45" s="11">
        <v>43925.387499999997</v>
      </c>
      <c r="V45" s="11">
        <v>42970.0605</v>
      </c>
      <c r="W45" s="11">
        <v>41243.802499999998</v>
      </c>
      <c r="X45" s="11">
        <v>37210.171999999999</v>
      </c>
      <c r="Y45" s="11">
        <v>32066.532999999999</v>
      </c>
      <c r="Z45" s="11">
        <v>26926.034</v>
      </c>
      <c r="AA45" s="11">
        <v>18887.7425</v>
      </c>
      <c r="AB45" s="11">
        <v>13187.9995</v>
      </c>
      <c r="AC45" s="11">
        <v>7311.0050000000001</v>
      </c>
      <c r="AD45" s="11">
        <v>2864.674</v>
      </c>
      <c r="AE45" s="11">
        <v>605.34649999999999</v>
      </c>
      <c r="AF45" s="11">
        <v>62.598500000000001</v>
      </c>
    </row>
    <row r="46" spans="1:32" x14ac:dyDescent="0.4">
      <c r="A46" s="7">
        <v>1298</v>
      </c>
      <c r="B46" s="7" t="s">
        <v>32</v>
      </c>
      <c r="C46" s="16" t="s">
        <v>64</v>
      </c>
      <c r="D46" s="9" t="s">
        <v>62</v>
      </c>
      <c r="E46" s="9">
        <v>1517</v>
      </c>
      <c r="F46" s="9" t="s">
        <v>34</v>
      </c>
      <c r="G46" s="9" t="s">
        <v>34</v>
      </c>
      <c r="H46" s="9" t="s">
        <v>34</v>
      </c>
      <c r="I46" s="10" t="s">
        <v>63</v>
      </c>
      <c r="J46" s="9">
        <v>1802</v>
      </c>
      <c r="K46" s="9">
        <v>2020</v>
      </c>
      <c r="L46" s="11">
        <v>259247.43049999999</v>
      </c>
      <c r="M46" s="11">
        <v>265213.8775</v>
      </c>
      <c r="N46" s="11">
        <v>255468.67800000001</v>
      </c>
      <c r="O46" s="11">
        <v>244306.31599999999</v>
      </c>
      <c r="P46" s="11">
        <v>236141.89850000001</v>
      </c>
      <c r="Q46" s="11">
        <v>236993.82399999999</v>
      </c>
      <c r="R46" s="11">
        <v>240249.12700000001</v>
      </c>
      <c r="S46" s="11">
        <v>215777.32800000001</v>
      </c>
      <c r="T46" s="11">
        <v>189174.144</v>
      </c>
      <c r="U46" s="11">
        <v>183177.21549999999</v>
      </c>
      <c r="V46" s="11">
        <v>167508.98300000001</v>
      </c>
      <c r="W46" s="11">
        <v>141079.174</v>
      </c>
      <c r="X46" s="11">
        <v>111446.321</v>
      </c>
      <c r="Y46" s="11">
        <v>90142.808999999994</v>
      </c>
      <c r="Z46" s="11">
        <v>58199.6325</v>
      </c>
      <c r="AA46" s="11">
        <v>34708.125999999997</v>
      </c>
      <c r="AB46" s="11">
        <v>20554.602999999999</v>
      </c>
      <c r="AC46" s="11">
        <v>8776.4210000000003</v>
      </c>
      <c r="AD46" s="11">
        <v>2533.7249999999999</v>
      </c>
      <c r="AE46" s="11">
        <v>402.9855</v>
      </c>
      <c r="AF46" s="11">
        <v>40.091500000000003</v>
      </c>
    </row>
    <row r="47" spans="1:32" x14ac:dyDescent="0.4">
      <c r="A47" s="7">
        <v>1370</v>
      </c>
      <c r="B47" s="7" t="s">
        <v>32</v>
      </c>
      <c r="C47" s="17" t="s">
        <v>65</v>
      </c>
      <c r="D47" s="9" t="s">
        <v>62</v>
      </c>
      <c r="E47" s="9">
        <v>1502</v>
      </c>
      <c r="F47" s="9" t="s">
        <v>34</v>
      </c>
      <c r="G47" s="9" t="s">
        <v>34</v>
      </c>
      <c r="H47" s="9">
        <v>914</v>
      </c>
      <c r="I47" s="10" t="s">
        <v>63</v>
      </c>
      <c r="J47" s="9">
        <v>1517</v>
      </c>
      <c r="K47" s="9">
        <v>2020</v>
      </c>
      <c r="L47" s="11">
        <v>85384.280499999993</v>
      </c>
      <c r="M47" s="11">
        <v>92476.686000000002</v>
      </c>
      <c r="N47" s="11">
        <v>88482.798999999999</v>
      </c>
      <c r="O47" s="11">
        <v>84086.087</v>
      </c>
      <c r="P47" s="11">
        <v>86076.312000000005</v>
      </c>
      <c r="Q47" s="11">
        <v>95465.892000000007</v>
      </c>
      <c r="R47" s="11">
        <v>107784.2355</v>
      </c>
      <c r="S47" s="11">
        <v>95012.482000000004</v>
      </c>
      <c r="T47" s="11">
        <v>84341.3</v>
      </c>
      <c r="U47" s="11">
        <v>92175.173500000004</v>
      </c>
      <c r="V47" s="11">
        <v>89830.592499999999</v>
      </c>
      <c r="W47" s="11">
        <v>75553.172999999995</v>
      </c>
      <c r="X47" s="11">
        <v>58856.0605</v>
      </c>
      <c r="Y47" s="11">
        <v>51163.538999999997</v>
      </c>
      <c r="Z47" s="11">
        <v>33392.834999999999</v>
      </c>
      <c r="AA47" s="11">
        <v>20097.4215</v>
      </c>
      <c r="AB47" s="11">
        <v>12575.012500000001</v>
      </c>
      <c r="AC47" s="11">
        <v>5538.3244999999997</v>
      </c>
      <c r="AD47" s="11">
        <v>1598.27</v>
      </c>
      <c r="AE47" s="11">
        <v>235.99549999999999</v>
      </c>
      <c r="AF47" s="11">
        <v>19.941500000000001</v>
      </c>
    </row>
    <row r="48" spans="1:32" x14ac:dyDescent="0.4">
      <c r="A48" s="7">
        <v>1442</v>
      </c>
      <c r="B48" s="7" t="s">
        <v>32</v>
      </c>
      <c r="C48" s="17" t="s">
        <v>66</v>
      </c>
      <c r="D48" s="9" t="s">
        <v>62</v>
      </c>
      <c r="E48" s="9">
        <v>1501</v>
      </c>
      <c r="F48" s="9" t="s">
        <v>34</v>
      </c>
      <c r="G48" s="9" t="s">
        <v>34</v>
      </c>
      <c r="H48" s="9">
        <v>912</v>
      </c>
      <c r="I48" s="10" t="s">
        <v>63</v>
      </c>
      <c r="J48" s="9">
        <v>1517</v>
      </c>
      <c r="K48" s="9">
        <v>2020</v>
      </c>
      <c r="L48" s="11">
        <v>173863.15</v>
      </c>
      <c r="M48" s="11">
        <v>172737.19149999999</v>
      </c>
      <c r="N48" s="11">
        <v>166985.87899999999</v>
      </c>
      <c r="O48" s="11">
        <v>160220.22899999999</v>
      </c>
      <c r="P48" s="11">
        <v>150065.5865</v>
      </c>
      <c r="Q48" s="11">
        <v>141527.932</v>
      </c>
      <c r="R48" s="11">
        <v>132464.8915</v>
      </c>
      <c r="S48" s="11">
        <v>120764.84600000001</v>
      </c>
      <c r="T48" s="11">
        <v>104832.844</v>
      </c>
      <c r="U48" s="11">
        <v>91002.042000000001</v>
      </c>
      <c r="V48" s="11">
        <v>77678.390499999994</v>
      </c>
      <c r="W48" s="11">
        <v>65526.000999999997</v>
      </c>
      <c r="X48" s="11">
        <v>52590.260499999997</v>
      </c>
      <c r="Y48" s="11">
        <v>38979.269999999997</v>
      </c>
      <c r="Z48" s="11">
        <v>24806.797500000001</v>
      </c>
      <c r="AA48" s="11">
        <v>14610.7045</v>
      </c>
      <c r="AB48" s="11">
        <v>7979.5905000000002</v>
      </c>
      <c r="AC48" s="11">
        <v>3238.0965000000001</v>
      </c>
      <c r="AD48" s="11">
        <v>935.45500000000004</v>
      </c>
      <c r="AE48" s="11">
        <v>166.99</v>
      </c>
      <c r="AF48" s="11">
        <v>20.149999999999999</v>
      </c>
    </row>
    <row r="49" spans="1:32" x14ac:dyDescent="0.4">
      <c r="A49" s="7">
        <v>1514</v>
      </c>
      <c r="B49" s="7" t="s">
        <v>32</v>
      </c>
      <c r="C49" s="16" t="s">
        <v>67</v>
      </c>
      <c r="D49" s="9" t="s">
        <v>62</v>
      </c>
      <c r="E49" s="9">
        <v>1500</v>
      </c>
      <c r="F49" s="9" t="s">
        <v>34</v>
      </c>
      <c r="G49" s="9" t="s">
        <v>34</v>
      </c>
      <c r="H49" s="9">
        <v>911</v>
      </c>
      <c r="I49" s="10" t="s">
        <v>63</v>
      </c>
      <c r="J49" s="9">
        <v>1802</v>
      </c>
      <c r="K49" s="9">
        <v>2020</v>
      </c>
      <c r="L49" s="11">
        <v>55877.594499999999</v>
      </c>
      <c r="M49" s="11">
        <v>49732.559500000003</v>
      </c>
      <c r="N49" s="11">
        <v>44280.540999999997</v>
      </c>
      <c r="O49" s="11">
        <v>38298.950499999999</v>
      </c>
      <c r="P49" s="11">
        <v>32547.93</v>
      </c>
      <c r="Q49" s="11">
        <v>27194.354500000001</v>
      </c>
      <c r="R49" s="11">
        <v>22617.656999999999</v>
      </c>
      <c r="S49" s="11">
        <v>18500.835500000001</v>
      </c>
      <c r="T49" s="11">
        <v>14930.6145</v>
      </c>
      <c r="U49" s="11">
        <v>12188.63</v>
      </c>
      <c r="V49" s="11">
        <v>9819.51</v>
      </c>
      <c r="W49" s="11">
        <v>7545.8885</v>
      </c>
      <c r="X49" s="11">
        <v>5774.7934999999998</v>
      </c>
      <c r="Y49" s="11">
        <v>4065.038</v>
      </c>
      <c r="Z49" s="11">
        <v>2787.4755</v>
      </c>
      <c r="AA49" s="11">
        <v>1634.1030000000001</v>
      </c>
      <c r="AB49" s="11">
        <v>749.61400000000003</v>
      </c>
      <c r="AC49" s="11">
        <v>235.512</v>
      </c>
      <c r="AD49" s="11">
        <v>46.339500000000001</v>
      </c>
      <c r="AE49" s="11">
        <v>5.0685000000000002</v>
      </c>
      <c r="AF49" s="11">
        <v>0.51949999999999996</v>
      </c>
    </row>
    <row r="50" spans="1:32" x14ac:dyDescent="0.4">
      <c r="A50" s="7">
        <v>1586</v>
      </c>
      <c r="B50" s="7" t="s">
        <v>32</v>
      </c>
      <c r="C50" s="16" t="s">
        <v>70</v>
      </c>
      <c r="D50" s="9" t="s">
        <v>34</v>
      </c>
      <c r="E50" s="9">
        <v>1518</v>
      </c>
      <c r="F50" s="9" t="s">
        <v>34</v>
      </c>
      <c r="G50" s="9" t="s">
        <v>34</v>
      </c>
      <c r="H50" s="9" t="s">
        <v>34</v>
      </c>
      <c r="I50" s="10" t="s">
        <v>63</v>
      </c>
      <c r="J50" s="9">
        <v>1802</v>
      </c>
      <c r="K50" s="9">
        <v>2020</v>
      </c>
      <c r="L50" s="11">
        <v>1316.5830000000001</v>
      </c>
      <c r="M50" s="11">
        <v>1448.6379999999999</v>
      </c>
      <c r="N50" s="11">
        <v>1479.0074999999999</v>
      </c>
      <c r="O50" s="11">
        <v>1354.7339999999999</v>
      </c>
      <c r="P50" s="11">
        <v>1115.597</v>
      </c>
      <c r="Q50" s="11">
        <v>1012.028</v>
      </c>
      <c r="R50" s="11">
        <v>1001.9545000000001</v>
      </c>
      <c r="S50" s="11">
        <v>963.76</v>
      </c>
      <c r="T50" s="11">
        <v>925.00250000000005</v>
      </c>
      <c r="U50" s="11">
        <v>846.072</v>
      </c>
      <c r="V50" s="11">
        <v>774.69550000000004</v>
      </c>
      <c r="W50" s="11">
        <v>678.55799999999999</v>
      </c>
      <c r="X50" s="11">
        <v>558.88549999999998</v>
      </c>
      <c r="Y50" s="11">
        <v>401.67149999999998</v>
      </c>
      <c r="Z50" s="11">
        <v>274.92200000000003</v>
      </c>
      <c r="AA50" s="11">
        <v>182.80549999999999</v>
      </c>
      <c r="AB50" s="11">
        <v>95.392499999999998</v>
      </c>
      <c r="AC50" s="11">
        <v>30.981000000000002</v>
      </c>
      <c r="AD50" s="11">
        <v>3.4929999999999999</v>
      </c>
      <c r="AE50" s="11">
        <v>9.1999999999999998E-2</v>
      </c>
      <c r="AF50" s="11">
        <v>1.0500000000000001E-2</v>
      </c>
    </row>
    <row r="53" spans="1:32" x14ac:dyDescent="0.4">
      <c r="L53" s="14" t="s">
        <v>73</v>
      </c>
    </row>
    <row r="54" spans="1:32" ht="23.15" x14ac:dyDescent="0.4">
      <c r="A54" s="1" t="s">
        <v>0</v>
      </c>
      <c r="B54" s="1" t="s">
        <v>1</v>
      </c>
      <c r="C54" s="2" t="s">
        <v>2</v>
      </c>
      <c r="D54" s="2" t="s">
        <v>3</v>
      </c>
      <c r="E54" s="3" t="s">
        <v>4</v>
      </c>
      <c r="F54" s="4" t="s">
        <v>5</v>
      </c>
      <c r="G54" s="4" t="s">
        <v>6</v>
      </c>
      <c r="H54" s="4" t="s">
        <v>7</v>
      </c>
      <c r="I54" s="5" t="s">
        <v>8</v>
      </c>
      <c r="J54" s="3" t="s">
        <v>9</v>
      </c>
      <c r="K54" s="3" t="s">
        <v>10</v>
      </c>
      <c r="L54" s="6" t="s">
        <v>11</v>
      </c>
      <c r="M54" s="6" t="s">
        <v>12</v>
      </c>
      <c r="N54" s="6" t="s">
        <v>13</v>
      </c>
      <c r="O54" s="6" t="s">
        <v>14</v>
      </c>
      <c r="P54" s="6" t="s">
        <v>15</v>
      </c>
      <c r="Q54" s="6" t="s">
        <v>16</v>
      </c>
      <c r="R54" s="6" t="s">
        <v>17</v>
      </c>
      <c r="S54" s="6" t="s">
        <v>18</v>
      </c>
      <c r="T54" s="6" t="s">
        <v>19</v>
      </c>
      <c r="U54" s="6" t="s">
        <v>20</v>
      </c>
      <c r="V54" s="6" t="s">
        <v>21</v>
      </c>
      <c r="W54" s="6" t="s">
        <v>22</v>
      </c>
      <c r="X54" s="6" t="s">
        <v>23</v>
      </c>
      <c r="Y54" s="6" t="s">
        <v>24</v>
      </c>
      <c r="Z54" s="6" t="s">
        <v>25</v>
      </c>
      <c r="AA54" s="6" t="s">
        <v>26</v>
      </c>
      <c r="AB54" s="6" t="s">
        <v>27</v>
      </c>
      <c r="AC54" s="6" t="s">
        <v>28</v>
      </c>
      <c r="AD54" s="6" t="s">
        <v>29</v>
      </c>
      <c r="AE54" s="6" t="s">
        <v>30</v>
      </c>
      <c r="AF54" s="6" t="s">
        <v>31</v>
      </c>
    </row>
    <row r="55" spans="1:32" x14ac:dyDescent="0.4">
      <c r="A55" s="7">
        <v>71</v>
      </c>
      <c r="B55" s="7" t="s">
        <v>32</v>
      </c>
      <c r="C55" s="15" t="s">
        <v>33</v>
      </c>
      <c r="D55" s="9" t="s">
        <v>34</v>
      </c>
      <c r="E55" s="9">
        <v>900</v>
      </c>
      <c r="F55" s="9" t="s">
        <v>34</v>
      </c>
      <c r="G55" s="9" t="s">
        <v>34</v>
      </c>
      <c r="H55" s="9">
        <v>1</v>
      </c>
      <c r="I55" s="10" t="s">
        <v>35</v>
      </c>
      <c r="J55" s="9">
        <v>0</v>
      </c>
      <c r="K55" s="9">
        <v>2020</v>
      </c>
      <c r="L55" s="11">
        <v>329657.80499999999</v>
      </c>
      <c r="M55" s="11">
        <v>329850.26049999997</v>
      </c>
      <c r="N55" s="11">
        <v>315818.337</v>
      </c>
      <c r="O55" s="11">
        <v>299676.78850000002</v>
      </c>
      <c r="P55" s="11">
        <v>289690.82549999998</v>
      </c>
      <c r="Q55" s="11">
        <v>291226.9705</v>
      </c>
      <c r="R55" s="11">
        <v>294489.245</v>
      </c>
      <c r="S55" s="11">
        <v>270283.15049999999</v>
      </c>
      <c r="T55" s="11">
        <v>242808.40650000001</v>
      </c>
      <c r="U55" s="11">
        <v>237207.80499999999</v>
      </c>
      <c r="V55" s="11">
        <v>222219.758</v>
      </c>
      <c r="W55" s="11">
        <v>196591.97700000001</v>
      </c>
      <c r="X55" s="11">
        <v>166125.1655</v>
      </c>
      <c r="Y55" s="11">
        <v>142507.921</v>
      </c>
      <c r="Z55" s="11">
        <v>104266.686</v>
      </c>
      <c r="AA55" s="11">
        <v>70671.570999999996</v>
      </c>
      <c r="AB55" s="11">
        <v>50471.463000000003</v>
      </c>
      <c r="AC55" s="11">
        <v>28294.725999999999</v>
      </c>
      <c r="AD55" s="11">
        <v>11921.6405</v>
      </c>
      <c r="AE55" s="11">
        <v>3115.8625000000002</v>
      </c>
      <c r="AF55" s="11">
        <v>444.32299999999998</v>
      </c>
    </row>
    <row r="56" spans="1:32" x14ac:dyDescent="0.4">
      <c r="A56" s="7">
        <v>144</v>
      </c>
      <c r="B56" s="7" t="s">
        <v>32</v>
      </c>
      <c r="C56" s="16" t="s">
        <v>36</v>
      </c>
      <c r="D56" s="9" t="s">
        <v>37</v>
      </c>
      <c r="E56" s="9">
        <v>1834</v>
      </c>
      <c r="F56" s="9" t="s">
        <v>34</v>
      </c>
      <c r="G56" s="9" t="s">
        <v>34</v>
      </c>
      <c r="H56" s="9">
        <v>202</v>
      </c>
      <c r="I56" s="10" t="s">
        <v>38</v>
      </c>
      <c r="J56" s="9">
        <v>1828</v>
      </c>
      <c r="K56" s="9">
        <v>2020</v>
      </c>
      <c r="L56" s="11">
        <v>86472.7215</v>
      </c>
      <c r="M56" s="11">
        <v>77235.979000000007</v>
      </c>
      <c r="N56" s="11">
        <v>68526.77</v>
      </c>
      <c r="O56" s="11">
        <v>58719.8</v>
      </c>
      <c r="P56" s="11">
        <v>49813.504500000003</v>
      </c>
      <c r="Q56" s="11">
        <v>42879.4715</v>
      </c>
      <c r="R56" s="11">
        <v>37100.214999999997</v>
      </c>
      <c r="S56" s="11">
        <v>31193.005000000001</v>
      </c>
      <c r="T56" s="11">
        <v>25136.1495</v>
      </c>
      <c r="U56" s="11">
        <v>20231.1145</v>
      </c>
      <c r="V56" s="11">
        <v>16703.3685</v>
      </c>
      <c r="W56" s="11">
        <v>13365.3505</v>
      </c>
      <c r="X56" s="11">
        <v>10329.587</v>
      </c>
      <c r="Y56" s="11">
        <v>7719.26</v>
      </c>
      <c r="Z56" s="11">
        <v>5329.1940000000004</v>
      </c>
      <c r="AA56" s="11">
        <v>3305.9650000000001</v>
      </c>
      <c r="AB56" s="11">
        <v>1716.4590000000001</v>
      </c>
      <c r="AC56" s="11">
        <v>706.649</v>
      </c>
      <c r="AD56" s="11">
        <v>223.6935</v>
      </c>
      <c r="AE56" s="11">
        <v>47.148000000000003</v>
      </c>
      <c r="AF56" s="11">
        <v>8.3064999999999998</v>
      </c>
    </row>
    <row r="57" spans="1:32" x14ac:dyDescent="0.4">
      <c r="A57" s="7">
        <v>216</v>
      </c>
      <c r="B57" s="7" t="s">
        <v>32</v>
      </c>
      <c r="C57" s="16" t="s">
        <v>39</v>
      </c>
      <c r="D57" s="9" t="s">
        <v>34</v>
      </c>
      <c r="E57" s="9">
        <v>1833</v>
      </c>
      <c r="F57" s="9" t="s">
        <v>34</v>
      </c>
      <c r="G57" s="9" t="s">
        <v>34</v>
      </c>
      <c r="H57" s="9">
        <v>747</v>
      </c>
      <c r="I57" s="10" t="s">
        <v>38</v>
      </c>
      <c r="J57" s="9">
        <v>1828</v>
      </c>
      <c r="K57" s="9">
        <v>2020</v>
      </c>
      <c r="L57" s="11">
        <v>28138.873</v>
      </c>
      <c r="M57" s="11">
        <v>27900.032500000001</v>
      </c>
      <c r="N57" s="11">
        <v>25007.49</v>
      </c>
      <c r="O57" s="11">
        <v>22455.806499999999</v>
      </c>
      <c r="P57" s="11">
        <v>21273.916000000001</v>
      </c>
      <c r="Q57" s="11">
        <v>21055.694</v>
      </c>
      <c r="R57" s="11">
        <v>20392.844499999999</v>
      </c>
      <c r="S57" s="11">
        <v>18796.0085</v>
      </c>
      <c r="T57" s="11">
        <v>16466.322499999998</v>
      </c>
      <c r="U57" s="11">
        <v>13930.752500000001</v>
      </c>
      <c r="V57" s="11">
        <v>11928.562</v>
      </c>
      <c r="W57" s="11">
        <v>9913.6875</v>
      </c>
      <c r="X57" s="11">
        <v>7894.7629999999999</v>
      </c>
      <c r="Y57" s="11">
        <v>6149.6279999999997</v>
      </c>
      <c r="Z57" s="11">
        <v>4304.6705000000002</v>
      </c>
      <c r="AA57" s="11">
        <v>2719.1464999999998</v>
      </c>
      <c r="AB57" s="11">
        <v>1729.4815000000001</v>
      </c>
      <c r="AC57" s="11">
        <v>808.39049999999997</v>
      </c>
      <c r="AD57" s="11">
        <v>260.76150000000001</v>
      </c>
      <c r="AE57" s="11">
        <v>49.405999999999999</v>
      </c>
      <c r="AF57" s="11">
        <v>4.9664999999999999</v>
      </c>
    </row>
    <row r="58" spans="1:32" x14ac:dyDescent="0.4">
      <c r="A58" s="7">
        <v>288</v>
      </c>
      <c r="B58" s="7" t="s">
        <v>32</v>
      </c>
      <c r="C58" s="16" t="s">
        <v>40</v>
      </c>
      <c r="D58" s="9" t="s">
        <v>34</v>
      </c>
      <c r="E58" s="9">
        <v>1831</v>
      </c>
      <c r="F58" s="9" t="s">
        <v>34</v>
      </c>
      <c r="G58" s="9" t="s">
        <v>34</v>
      </c>
      <c r="H58" s="9">
        <v>62</v>
      </c>
      <c r="I58" s="10" t="s">
        <v>38</v>
      </c>
      <c r="J58" s="9">
        <v>1828</v>
      </c>
      <c r="K58" s="9">
        <v>2020</v>
      </c>
      <c r="L58" s="11">
        <v>90507.5</v>
      </c>
      <c r="M58" s="11">
        <v>91952.962499999994</v>
      </c>
      <c r="N58" s="11">
        <v>91826.703500000003</v>
      </c>
      <c r="O58" s="11">
        <v>91850.267000000007</v>
      </c>
      <c r="P58" s="11">
        <v>87934.771999999997</v>
      </c>
      <c r="Q58" s="11">
        <v>84404.435500000007</v>
      </c>
      <c r="R58" s="11">
        <v>79883.305999999997</v>
      </c>
      <c r="S58" s="11">
        <v>72094.131500000003</v>
      </c>
      <c r="T58" s="11">
        <v>62532.976000000002</v>
      </c>
      <c r="U58" s="11">
        <v>55309.582999999999</v>
      </c>
      <c r="V58" s="11">
        <v>47938.791499999999</v>
      </c>
      <c r="W58" s="11">
        <v>41365.866000000002</v>
      </c>
      <c r="X58" s="11">
        <v>34547.120999999999</v>
      </c>
      <c r="Y58" s="11">
        <v>26724.387500000001</v>
      </c>
      <c r="Z58" s="11">
        <v>17899.034500000002</v>
      </c>
      <c r="AA58" s="11">
        <v>11442.986999999999</v>
      </c>
      <c r="AB58" s="11">
        <v>6948.4260000000004</v>
      </c>
      <c r="AC58" s="11">
        <v>3145.4920000000002</v>
      </c>
      <c r="AD58" s="11">
        <v>1009.3575</v>
      </c>
      <c r="AE58" s="11">
        <v>198.75700000000001</v>
      </c>
      <c r="AF58" s="11">
        <v>23.977499999999999</v>
      </c>
    </row>
    <row r="59" spans="1:32" x14ac:dyDescent="0.4">
      <c r="A59" s="7">
        <v>360</v>
      </c>
      <c r="B59" s="7" t="s">
        <v>32</v>
      </c>
      <c r="C59" s="16" t="s">
        <v>41</v>
      </c>
      <c r="D59" s="9" t="s">
        <v>34</v>
      </c>
      <c r="E59" s="9">
        <v>1832</v>
      </c>
      <c r="F59" s="9" t="s">
        <v>34</v>
      </c>
      <c r="G59" s="9" t="s">
        <v>34</v>
      </c>
      <c r="H59" s="9">
        <v>753</v>
      </c>
      <c r="I59" s="10" t="s">
        <v>38</v>
      </c>
      <c r="J59" s="9">
        <v>1828</v>
      </c>
      <c r="K59" s="9">
        <v>2020</v>
      </c>
      <c r="L59" s="11">
        <v>69373.992499999993</v>
      </c>
      <c r="M59" s="11">
        <v>74504.254499999995</v>
      </c>
      <c r="N59" s="11">
        <v>71601.698999999993</v>
      </c>
      <c r="O59" s="11">
        <v>68481.798500000004</v>
      </c>
      <c r="P59" s="11">
        <v>71120.474000000002</v>
      </c>
      <c r="Q59" s="11">
        <v>79933.697499999995</v>
      </c>
      <c r="R59" s="11">
        <v>91181.533500000005</v>
      </c>
      <c r="S59" s="11">
        <v>83365.946500000005</v>
      </c>
      <c r="T59" s="11">
        <v>76788.921000000002</v>
      </c>
      <c r="U59" s="11">
        <v>88006.1495</v>
      </c>
      <c r="V59" s="11">
        <v>87532.879499999995</v>
      </c>
      <c r="W59" s="11">
        <v>74275.692500000005</v>
      </c>
      <c r="X59" s="11">
        <v>60022.794500000004</v>
      </c>
      <c r="Y59" s="11">
        <v>55589.99</v>
      </c>
      <c r="Z59" s="11">
        <v>39153.608</v>
      </c>
      <c r="AA59" s="11">
        <v>26482.976500000001</v>
      </c>
      <c r="AB59" s="11">
        <v>18511.560000000001</v>
      </c>
      <c r="AC59" s="11">
        <v>10937.645</v>
      </c>
      <c r="AD59" s="11">
        <v>4538.4579999999996</v>
      </c>
      <c r="AE59" s="11">
        <v>1211.5574999999999</v>
      </c>
      <c r="AF59" s="11">
        <v>193.851</v>
      </c>
    </row>
    <row r="60" spans="1:32" x14ac:dyDescent="0.4">
      <c r="A60" s="7">
        <v>432</v>
      </c>
      <c r="B60" s="7" t="s">
        <v>32</v>
      </c>
      <c r="C60" s="16" t="s">
        <v>42</v>
      </c>
      <c r="D60" s="9" t="s">
        <v>34</v>
      </c>
      <c r="E60" s="9">
        <v>1830</v>
      </c>
      <c r="F60" s="9" t="s">
        <v>34</v>
      </c>
      <c r="G60" s="9" t="s">
        <v>34</v>
      </c>
      <c r="H60" s="9">
        <v>419</v>
      </c>
      <c r="I60" s="10" t="s">
        <v>38</v>
      </c>
      <c r="J60" s="9">
        <v>1828</v>
      </c>
      <c r="K60" s="9">
        <v>2020</v>
      </c>
      <c r="L60" s="11">
        <v>24738.158500000001</v>
      </c>
      <c r="M60" s="11">
        <v>25663.895</v>
      </c>
      <c r="N60" s="11">
        <v>25904.18</v>
      </c>
      <c r="O60" s="11">
        <v>26314.466499999999</v>
      </c>
      <c r="P60" s="11">
        <v>26738.174999999999</v>
      </c>
      <c r="Q60" s="11">
        <v>26419.503499999999</v>
      </c>
      <c r="R60" s="11">
        <v>25692.771499999999</v>
      </c>
      <c r="S60" s="11">
        <v>24479.612499999999</v>
      </c>
      <c r="T60" s="11">
        <v>22551.048500000001</v>
      </c>
      <c r="U60" s="11">
        <v>20451.064999999999</v>
      </c>
      <c r="V60" s="11">
        <v>18587.676500000001</v>
      </c>
      <c r="W60" s="11">
        <v>16742.842000000001</v>
      </c>
      <c r="X60" s="11">
        <v>14013.432000000001</v>
      </c>
      <c r="Y60" s="11">
        <v>11193.782499999999</v>
      </c>
      <c r="Z60" s="11">
        <v>8298.6319999999996</v>
      </c>
      <c r="AA60" s="11">
        <v>5839.9165000000003</v>
      </c>
      <c r="AB60" s="11">
        <v>3842.1280000000002</v>
      </c>
      <c r="AC60" s="11">
        <v>2024.163</v>
      </c>
      <c r="AD60" s="11">
        <v>789.81799999999998</v>
      </c>
      <c r="AE60" s="11">
        <v>207.3355</v>
      </c>
      <c r="AF60" s="11">
        <v>31.472000000000001</v>
      </c>
    </row>
    <row r="61" spans="1:32" x14ac:dyDescent="0.4">
      <c r="A61" s="7">
        <v>504</v>
      </c>
      <c r="B61" s="7" t="s">
        <v>32</v>
      </c>
      <c r="C61" s="16" t="s">
        <v>43</v>
      </c>
      <c r="D61" s="9" t="s">
        <v>34</v>
      </c>
      <c r="E61" s="9">
        <v>1835</v>
      </c>
      <c r="F61" s="9" t="s">
        <v>34</v>
      </c>
      <c r="G61" s="9" t="s">
        <v>34</v>
      </c>
      <c r="H61" s="9">
        <v>543</v>
      </c>
      <c r="I61" s="10" t="s">
        <v>38</v>
      </c>
      <c r="J61" s="9">
        <v>1828</v>
      </c>
      <c r="K61" s="9">
        <v>2020</v>
      </c>
      <c r="L61" s="11">
        <v>762.20550000000003</v>
      </c>
      <c r="M61" s="11">
        <v>729.28700000000003</v>
      </c>
      <c r="N61" s="11">
        <v>677.4</v>
      </c>
      <c r="O61" s="11">
        <v>624.65250000000003</v>
      </c>
      <c r="P61" s="11">
        <v>575.9615</v>
      </c>
      <c r="Q61" s="11">
        <v>539.92899999999997</v>
      </c>
      <c r="R61" s="11">
        <v>496.34550000000002</v>
      </c>
      <c r="S61" s="11">
        <v>436.5675</v>
      </c>
      <c r="T61" s="11">
        <v>374.01299999999998</v>
      </c>
      <c r="U61" s="11">
        <v>318.01100000000002</v>
      </c>
      <c r="V61" s="11">
        <v>267.26499999999999</v>
      </c>
      <c r="W61" s="11">
        <v>213.83</v>
      </c>
      <c r="X61" s="11">
        <v>154.11699999999999</v>
      </c>
      <c r="Y61" s="11">
        <v>104.96899999999999</v>
      </c>
      <c r="Z61" s="11">
        <v>69.774000000000001</v>
      </c>
      <c r="AA61" s="11">
        <v>42.2485</v>
      </c>
      <c r="AB61" s="11">
        <v>22.378</v>
      </c>
      <c r="AC61" s="11">
        <v>9.1289999999999996</v>
      </c>
      <c r="AD61" s="11">
        <v>2.8239999999999998</v>
      </c>
      <c r="AE61" s="11">
        <v>0.61250000000000004</v>
      </c>
      <c r="AF61" s="11">
        <v>0.1135</v>
      </c>
    </row>
    <row r="62" spans="1:32" x14ac:dyDescent="0.4">
      <c r="A62" s="7">
        <v>576</v>
      </c>
      <c r="B62" s="7" t="s">
        <v>32</v>
      </c>
      <c r="C62" s="16" t="s">
        <v>44</v>
      </c>
      <c r="D62" s="9" t="s">
        <v>34</v>
      </c>
      <c r="E62" s="9">
        <v>1836</v>
      </c>
      <c r="F62" s="9" t="s">
        <v>34</v>
      </c>
      <c r="G62" s="9" t="s">
        <v>34</v>
      </c>
      <c r="H62" s="9">
        <v>53</v>
      </c>
      <c r="I62" s="10" t="s">
        <v>38</v>
      </c>
      <c r="J62" s="9">
        <v>1828</v>
      </c>
      <c r="K62" s="9">
        <v>2020</v>
      </c>
      <c r="L62" s="11">
        <v>906.346</v>
      </c>
      <c r="M62" s="11">
        <v>948.07100000000003</v>
      </c>
      <c r="N62" s="11">
        <v>931.81399999999996</v>
      </c>
      <c r="O62" s="11">
        <v>881.322</v>
      </c>
      <c r="P62" s="11">
        <v>1003.285</v>
      </c>
      <c r="Q62" s="11">
        <v>1139.502</v>
      </c>
      <c r="R62" s="11">
        <v>1162.1120000000001</v>
      </c>
      <c r="S62" s="11">
        <v>1093.7715000000001</v>
      </c>
      <c r="T62" s="11">
        <v>973.16399999999999</v>
      </c>
      <c r="U62" s="11">
        <v>1015.6224999999999</v>
      </c>
      <c r="V62" s="11">
        <v>967.62149999999997</v>
      </c>
      <c r="W62" s="11">
        <v>953.00300000000004</v>
      </c>
      <c r="X62" s="11">
        <v>876.42650000000003</v>
      </c>
      <c r="Y62" s="11">
        <v>767.91150000000005</v>
      </c>
      <c r="Z62" s="11">
        <v>668.07899999999995</v>
      </c>
      <c r="AA62" s="11">
        <v>478.34100000000001</v>
      </c>
      <c r="AB62" s="11">
        <v>340.28750000000002</v>
      </c>
      <c r="AC62" s="11">
        <v>219.09649999999999</v>
      </c>
      <c r="AD62" s="11">
        <v>117.8535</v>
      </c>
      <c r="AE62" s="11">
        <v>36.360999999999997</v>
      </c>
      <c r="AF62" s="11">
        <v>5.1289999999999996</v>
      </c>
    </row>
    <row r="63" spans="1:32" x14ac:dyDescent="0.4">
      <c r="A63" s="7">
        <v>648</v>
      </c>
      <c r="B63" s="7" t="s">
        <v>32</v>
      </c>
      <c r="C63" s="16" t="s">
        <v>45</v>
      </c>
      <c r="D63" s="9" t="s">
        <v>34</v>
      </c>
      <c r="E63" s="9">
        <v>1829</v>
      </c>
      <c r="F63" s="9" t="s">
        <v>34</v>
      </c>
      <c r="G63" s="9" t="s">
        <v>34</v>
      </c>
      <c r="H63" s="9">
        <v>513</v>
      </c>
      <c r="I63" s="10" t="s">
        <v>38</v>
      </c>
      <c r="J63" s="9">
        <v>1828</v>
      </c>
      <c r="K63" s="9">
        <v>2020</v>
      </c>
      <c r="L63" s="11">
        <v>28758.008000000002</v>
      </c>
      <c r="M63" s="11">
        <v>30915.778999999999</v>
      </c>
      <c r="N63" s="11">
        <v>31342.280500000001</v>
      </c>
      <c r="O63" s="11">
        <v>30348.675500000001</v>
      </c>
      <c r="P63" s="11">
        <v>31230.737499999999</v>
      </c>
      <c r="Q63" s="11">
        <v>34854.737500000003</v>
      </c>
      <c r="R63" s="11">
        <v>38580.116999999998</v>
      </c>
      <c r="S63" s="11">
        <v>38824.107499999998</v>
      </c>
      <c r="T63" s="11">
        <v>37985.811999999998</v>
      </c>
      <c r="U63" s="11">
        <v>37945.506999999998</v>
      </c>
      <c r="V63" s="11">
        <v>38293.593500000003</v>
      </c>
      <c r="W63" s="11">
        <v>39761.705499999996</v>
      </c>
      <c r="X63" s="11">
        <v>38286.924500000001</v>
      </c>
      <c r="Y63" s="11">
        <v>34257.9925</v>
      </c>
      <c r="Z63" s="11">
        <v>28543.694</v>
      </c>
      <c r="AA63" s="11">
        <v>20359.990000000002</v>
      </c>
      <c r="AB63" s="11">
        <v>17360.742999999999</v>
      </c>
      <c r="AC63" s="11">
        <v>10444.161</v>
      </c>
      <c r="AD63" s="11">
        <v>4978.8744999999999</v>
      </c>
      <c r="AE63" s="11">
        <v>1364.6849999999999</v>
      </c>
      <c r="AF63" s="11">
        <v>176.50700000000001</v>
      </c>
    </row>
    <row r="64" spans="1:32" x14ac:dyDescent="0.4">
      <c r="A64" s="7">
        <v>721</v>
      </c>
      <c r="B64" s="7" t="s">
        <v>32</v>
      </c>
      <c r="C64" s="16" t="s">
        <v>46</v>
      </c>
      <c r="D64" s="9" t="s">
        <v>47</v>
      </c>
      <c r="E64" s="9">
        <v>901</v>
      </c>
      <c r="F64" s="9" t="s">
        <v>34</v>
      </c>
      <c r="G64" s="9" t="s">
        <v>34</v>
      </c>
      <c r="H64" s="9">
        <v>514</v>
      </c>
      <c r="I64" s="10" t="s">
        <v>48</v>
      </c>
      <c r="J64" s="9">
        <v>1803</v>
      </c>
      <c r="K64" s="9">
        <v>2020</v>
      </c>
      <c r="L64" s="11">
        <v>31831.6875</v>
      </c>
      <c r="M64" s="11">
        <v>34350.803999999996</v>
      </c>
      <c r="N64" s="11">
        <v>34912.118499999997</v>
      </c>
      <c r="O64" s="11">
        <v>34014.8655</v>
      </c>
      <c r="P64" s="11">
        <v>35185.609499999999</v>
      </c>
      <c r="Q64" s="11">
        <v>38965.811000000002</v>
      </c>
      <c r="R64" s="11">
        <v>42932.127999999997</v>
      </c>
      <c r="S64" s="11">
        <v>43452.281000000003</v>
      </c>
      <c r="T64" s="11">
        <v>43093.7575</v>
      </c>
      <c r="U64" s="11">
        <v>43740.749000000003</v>
      </c>
      <c r="V64" s="11">
        <v>43486.53</v>
      </c>
      <c r="W64" s="11">
        <v>44618.0245</v>
      </c>
      <c r="X64" s="11">
        <v>42864.921000000002</v>
      </c>
      <c r="Y64" s="11">
        <v>39197.952499999999</v>
      </c>
      <c r="Z64" s="11">
        <v>34101.464999999997</v>
      </c>
      <c r="AA64" s="11">
        <v>24833.797500000001</v>
      </c>
      <c r="AB64" s="11">
        <v>20929.868999999999</v>
      </c>
      <c r="AC64" s="11">
        <v>13154.9265</v>
      </c>
      <c r="AD64" s="11">
        <v>6544.7375000000002</v>
      </c>
      <c r="AE64" s="11">
        <v>1957.4345000000001</v>
      </c>
      <c r="AF64" s="11">
        <v>293.4375</v>
      </c>
    </row>
    <row r="65" spans="1:32" x14ac:dyDescent="0.4">
      <c r="A65" s="7">
        <v>793</v>
      </c>
      <c r="B65" s="7" t="s">
        <v>32</v>
      </c>
      <c r="C65" s="16" t="s">
        <v>49</v>
      </c>
      <c r="D65" s="9" t="s">
        <v>50</v>
      </c>
      <c r="E65" s="9">
        <v>902</v>
      </c>
      <c r="F65" s="9" t="s">
        <v>34</v>
      </c>
      <c r="G65" s="9" t="s">
        <v>34</v>
      </c>
      <c r="H65" s="9">
        <v>515</v>
      </c>
      <c r="I65" s="10" t="s">
        <v>48</v>
      </c>
      <c r="J65" s="9">
        <v>1803</v>
      </c>
      <c r="K65" s="9">
        <v>2020</v>
      </c>
      <c r="L65" s="11">
        <v>297826.11749999999</v>
      </c>
      <c r="M65" s="11">
        <v>295499.45649999997</v>
      </c>
      <c r="N65" s="11">
        <v>280906.21850000002</v>
      </c>
      <c r="O65" s="11">
        <v>265661.92300000001</v>
      </c>
      <c r="P65" s="11">
        <v>254505.21599999999</v>
      </c>
      <c r="Q65" s="11">
        <v>252261.15950000001</v>
      </c>
      <c r="R65" s="11">
        <v>251557.117</v>
      </c>
      <c r="S65" s="11">
        <v>226830.8695</v>
      </c>
      <c r="T65" s="11">
        <v>199714.649</v>
      </c>
      <c r="U65" s="11">
        <v>193467.05600000001</v>
      </c>
      <c r="V65" s="11">
        <v>178733.228</v>
      </c>
      <c r="W65" s="11">
        <v>151973.95250000001</v>
      </c>
      <c r="X65" s="11">
        <v>123260.2445</v>
      </c>
      <c r="Y65" s="11">
        <v>103309.9685</v>
      </c>
      <c r="Z65" s="11">
        <v>70165.221000000005</v>
      </c>
      <c r="AA65" s="11">
        <v>45837.773500000003</v>
      </c>
      <c r="AB65" s="11">
        <v>29541.594000000001</v>
      </c>
      <c r="AC65" s="11">
        <v>15139.799499999999</v>
      </c>
      <c r="AD65" s="11">
        <v>5376.9030000000002</v>
      </c>
      <c r="AE65" s="11">
        <v>1158.4280000000001</v>
      </c>
      <c r="AF65" s="11">
        <v>150.88550000000001</v>
      </c>
    </row>
    <row r="66" spans="1:32" x14ac:dyDescent="0.4">
      <c r="A66" s="7">
        <v>865</v>
      </c>
      <c r="B66" s="7" t="s">
        <v>32</v>
      </c>
      <c r="C66" s="17" t="s">
        <v>51</v>
      </c>
      <c r="D66" s="9" t="s">
        <v>52</v>
      </c>
      <c r="E66" s="9">
        <v>941</v>
      </c>
      <c r="F66" s="9" t="s">
        <v>34</v>
      </c>
      <c r="G66" s="9" t="s">
        <v>34</v>
      </c>
      <c r="H66" s="9">
        <v>199</v>
      </c>
      <c r="I66" s="10" t="s">
        <v>48</v>
      </c>
      <c r="J66" s="9">
        <v>902</v>
      </c>
      <c r="K66" s="9">
        <v>2020</v>
      </c>
      <c r="L66" s="11">
        <v>76260.438500000004</v>
      </c>
      <c r="M66" s="11">
        <v>68812.153999999995</v>
      </c>
      <c r="N66" s="11">
        <v>62842.806499999999</v>
      </c>
      <c r="O66" s="11">
        <v>56487.150999999998</v>
      </c>
      <c r="P66" s="11">
        <v>49483.169500000004</v>
      </c>
      <c r="Q66" s="11">
        <v>43164.851000000002</v>
      </c>
      <c r="R66" s="11">
        <v>37471.582999999999</v>
      </c>
      <c r="S66" s="11">
        <v>31813.742999999999</v>
      </c>
      <c r="T66" s="11">
        <v>26158.71</v>
      </c>
      <c r="U66" s="11">
        <v>21781.496999999999</v>
      </c>
      <c r="V66" s="11">
        <v>17911.896000000001</v>
      </c>
      <c r="W66" s="11">
        <v>14581.5085</v>
      </c>
      <c r="X66" s="11">
        <v>11754.029500000001</v>
      </c>
      <c r="Y66" s="11">
        <v>8790.1674999999996</v>
      </c>
      <c r="Z66" s="11">
        <v>5892.9494999999997</v>
      </c>
      <c r="AA66" s="11">
        <v>3655.9854999999998</v>
      </c>
      <c r="AB66" s="11">
        <v>1910.6714999999999</v>
      </c>
      <c r="AC66" s="11">
        <v>757.83150000000001</v>
      </c>
      <c r="AD66" s="11">
        <v>205.4975</v>
      </c>
      <c r="AE66" s="11">
        <v>31.635000000000002</v>
      </c>
      <c r="AF66" s="11">
        <v>2.9249999999999998</v>
      </c>
    </row>
    <row r="67" spans="1:32" x14ac:dyDescent="0.4">
      <c r="A67" s="7">
        <v>937</v>
      </c>
      <c r="B67" s="7" t="s">
        <v>32</v>
      </c>
      <c r="C67" s="17" t="s">
        <v>53</v>
      </c>
      <c r="D67" s="9" t="s">
        <v>54</v>
      </c>
      <c r="E67" s="9">
        <v>934</v>
      </c>
      <c r="F67" s="9" t="s">
        <v>34</v>
      </c>
      <c r="G67" s="9" t="s">
        <v>34</v>
      </c>
      <c r="H67" s="9" t="s">
        <v>34</v>
      </c>
      <c r="I67" s="10" t="s">
        <v>48</v>
      </c>
      <c r="J67" s="9">
        <v>902</v>
      </c>
      <c r="K67" s="9">
        <v>2020</v>
      </c>
      <c r="L67" s="11">
        <v>221565.679</v>
      </c>
      <c r="M67" s="11">
        <v>226687.30249999999</v>
      </c>
      <c r="N67" s="11">
        <v>218063.41200000001</v>
      </c>
      <c r="O67" s="11">
        <v>209174.772</v>
      </c>
      <c r="P67" s="11">
        <v>205022.0465</v>
      </c>
      <c r="Q67" s="11">
        <v>209096.30850000001</v>
      </c>
      <c r="R67" s="11">
        <v>214085.53400000001</v>
      </c>
      <c r="S67" s="11">
        <v>195017.12650000001</v>
      </c>
      <c r="T67" s="11">
        <v>173555.93900000001</v>
      </c>
      <c r="U67" s="11">
        <v>171685.55900000001</v>
      </c>
      <c r="V67" s="11">
        <v>160821.33199999999</v>
      </c>
      <c r="W67" s="11">
        <v>137392.44399999999</v>
      </c>
      <c r="X67" s="11">
        <v>111506.215</v>
      </c>
      <c r="Y67" s="11">
        <v>94519.801000000007</v>
      </c>
      <c r="Z67" s="11">
        <v>64272.271500000003</v>
      </c>
      <c r="AA67" s="11">
        <v>42181.788</v>
      </c>
      <c r="AB67" s="11">
        <v>27630.922500000001</v>
      </c>
      <c r="AC67" s="11">
        <v>14381.968000000001</v>
      </c>
      <c r="AD67" s="11">
        <v>5171.4054999999998</v>
      </c>
      <c r="AE67" s="11">
        <v>1126.7929999999999</v>
      </c>
      <c r="AF67" s="11">
        <v>147.9605</v>
      </c>
    </row>
    <row r="68" spans="1:32" x14ac:dyDescent="0.4">
      <c r="A68" s="7">
        <v>1009</v>
      </c>
      <c r="B68" s="7" t="s">
        <v>32</v>
      </c>
      <c r="C68" s="16" t="s">
        <v>55</v>
      </c>
      <c r="D68" s="9" t="s">
        <v>34</v>
      </c>
      <c r="E68" s="9">
        <v>948</v>
      </c>
      <c r="F68" s="9" t="s">
        <v>34</v>
      </c>
      <c r="G68" s="9" t="s">
        <v>34</v>
      </c>
      <c r="H68" s="9" t="s">
        <v>34</v>
      </c>
      <c r="I68" s="10" t="s">
        <v>48</v>
      </c>
      <c r="J68" s="9">
        <v>1803</v>
      </c>
      <c r="K68" s="9">
        <v>2020</v>
      </c>
      <c r="L68" s="11">
        <v>259255.91200000001</v>
      </c>
      <c r="M68" s="11">
        <v>252958.88750000001</v>
      </c>
      <c r="N68" s="11">
        <v>240964.766</v>
      </c>
      <c r="O68" s="11">
        <v>228362.25750000001</v>
      </c>
      <c r="P68" s="11">
        <v>215289.28049999999</v>
      </c>
      <c r="Q68" s="11">
        <v>204546.73449999999</v>
      </c>
      <c r="R68" s="11">
        <v>191782.69099999999</v>
      </c>
      <c r="S68" s="11">
        <v>174829.88149999999</v>
      </c>
      <c r="T68" s="11">
        <v>152840.1845</v>
      </c>
      <c r="U68" s="11">
        <v>134809.93350000001</v>
      </c>
      <c r="V68" s="11">
        <v>118191.48450000001</v>
      </c>
      <c r="W68" s="11">
        <v>101827.105</v>
      </c>
      <c r="X68" s="11">
        <v>83966.176000000007</v>
      </c>
      <c r="Y68" s="11">
        <v>64415.938499999997</v>
      </c>
      <c r="Z68" s="11">
        <v>44831.031499999997</v>
      </c>
      <c r="AA68" s="11">
        <v>29627.215</v>
      </c>
      <c r="AB68" s="11">
        <v>18372.3845</v>
      </c>
      <c r="AC68" s="11">
        <v>8808.3084999999992</v>
      </c>
      <c r="AD68" s="11">
        <v>3059.74</v>
      </c>
      <c r="AE68" s="11">
        <v>688.23599999999999</v>
      </c>
      <c r="AF68" s="11">
        <v>107.72499999999999</v>
      </c>
    </row>
    <row r="69" spans="1:32" x14ac:dyDescent="0.4">
      <c r="A69" s="7">
        <v>1081</v>
      </c>
      <c r="B69" s="7" t="s">
        <v>32</v>
      </c>
      <c r="C69" s="16" t="s">
        <v>56</v>
      </c>
      <c r="D69" s="9" t="s">
        <v>57</v>
      </c>
      <c r="E69" s="9">
        <v>1636</v>
      </c>
      <c r="F69" s="9" t="s">
        <v>34</v>
      </c>
      <c r="G69" s="9" t="s">
        <v>34</v>
      </c>
      <c r="H69" s="9">
        <v>432</v>
      </c>
      <c r="I69" s="10" t="s">
        <v>58</v>
      </c>
      <c r="J69" s="9">
        <v>1803</v>
      </c>
      <c r="K69" s="9">
        <v>2020</v>
      </c>
      <c r="L69" s="11">
        <v>38279.904999999999</v>
      </c>
      <c r="M69" s="11">
        <v>34930.995499999997</v>
      </c>
      <c r="N69" s="11">
        <v>31511.781999999999</v>
      </c>
      <c r="O69" s="11">
        <v>27822.791000000001</v>
      </c>
      <c r="P69" s="11">
        <v>24482.112000000001</v>
      </c>
      <c r="Q69" s="11">
        <v>21838.144499999999</v>
      </c>
      <c r="R69" s="11">
        <v>19070.264500000001</v>
      </c>
      <c r="S69" s="11">
        <v>15766.766</v>
      </c>
      <c r="T69" s="11">
        <v>12877.2935</v>
      </c>
      <c r="U69" s="11">
        <v>10609.782499999999</v>
      </c>
      <c r="V69" s="11">
        <v>8920.1234999999997</v>
      </c>
      <c r="W69" s="11">
        <v>7627.7219999999998</v>
      </c>
      <c r="X69" s="11">
        <v>6074.8845000000001</v>
      </c>
      <c r="Y69" s="11">
        <v>4506.2034999999996</v>
      </c>
      <c r="Z69" s="11">
        <v>2997.0985000000001</v>
      </c>
      <c r="AA69" s="11">
        <v>1812.3</v>
      </c>
      <c r="AB69" s="11">
        <v>1099.6614999999999</v>
      </c>
      <c r="AC69" s="11">
        <v>432.28750000000002</v>
      </c>
      <c r="AD69" s="11">
        <v>128.90950000000001</v>
      </c>
      <c r="AE69" s="11">
        <v>21.7315</v>
      </c>
      <c r="AF69" s="11">
        <v>2.5630000000000002</v>
      </c>
    </row>
    <row r="70" spans="1:32" x14ac:dyDescent="0.4">
      <c r="A70" s="7">
        <v>1153</v>
      </c>
      <c r="B70" s="7" t="s">
        <v>32</v>
      </c>
      <c r="C70" s="16" t="s">
        <v>59</v>
      </c>
      <c r="D70" s="9" t="s">
        <v>60</v>
      </c>
      <c r="E70" s="9">
        <v>1637</v>
      </c>
      <c r="F70" s="9" t="s">
        <v>34</v>
      </c>
      <c r="G70" s="9" t="s">
        <v>34</v>
      </c>
      <c r="H70" s="9">
        <v>722</v>
      </c>
      <c r="I70" s="10" t="s">
        <v>58</v>
      </c>
      <c r="J70" s="9">
        <v>1803</v>
      </c>
      <c r="K70" s="9">
        <v>2020</v>
      </c>
      <c r="L70" s="11">
        <v>3068.1505000000002</v>
      </c>
      <c r="M70" s="11">
        <v>3054.0765000000001</v>
      </c>
      <c r="N70" s="11">
        <v>2966.489</v>
      </c>
      <c r="O70" s="11">
        <v>2920.415</v>
      </c>
      <c r="P70" s="11">
        <v>2902.9555</v>
      </c>
      <c r="Q70" s="11">
        <v>2850.7939999999999</v>
      </c>
      <c r="R70" s="11">
        <v>2725.5275000000001</v>
      </c>
      <c r="S70" s="11">
        <v>2475.8375000000001</v>
      </c>
      <c r="T70" s="11">
        <v>2244.3164999999999</v>
      </c>
      <c r="U70" s="11">
        <v>2182.2460000000001</v>
      </c>
      <c r="V70" s="11">
        <v>2057.9115000000002</v>
      </c>
      <c r="W70" s="11">
        <v>1896.1880000000001</v>
      </c>
      <c r="X70" s="11">
        <v>1511.144</v>
      </c>
      <c r="Y70" s="11">
        <v>1200.7345</v>
      </c>
      <c r="Z70" s="11">
        <v>879.25549999999998</v>
      </c>
      <c r="AA70" s="11">
        <v>609.03650000000005</v>
      </c>
      <c r="AB70" s="11">
        <v>396.6345</v>
      </c>
      <c r="AC70" s="11">
        <v>216.51349999999999</v>
      </c>
      <c r="AD70" s="11">
        <v>94.866</v>
      </c>
      <c r="AE70" s="11">
        <v>27.849</v>
      </c>
      <c r="AF70" s="11">
        <v>5.5454999999999997</v>
      </c>
    </row>
    <row r="71" spans="1:32" x14ac:dyDescent="0.4">
      <c r="A71" s="7">
        <v>1226</v>
      </c>
      <c r="B71" s="7" t="s">
        <v>32</v>
      </c>
      <c r="C71" s="16" t="s">
        <v>61</v>
      </c>
      <c r="D71" s="9" t="s">
        <v>62</v>
      </c>
      <c r="E71" s="9">
        <v>1503</v>
      </c>
      <c r="F71" s="9" t="s">
        <v>34</v>
      </c>
      <c r="G71" s="9" t="s">
        <v>34</v>
      </c>
      <c r="H71" s="9">
        <v>910</v>
      </c>
      <c r="I71" s="10" t="s">
        <v>63</v>
      </c>
      <c r="J71" s="9">
        <v>1802</v>
      </c>
      <c r="K71" s="9">
        <v>2020</v>
      </c>
      <c r="L71" s="11">
        <v>31446.723000000002</v>
      </c>
      <c r="M71" s="11">
        <v>33424.315999999999</v>
      </c>
      <c r="N71" s="11">
        <v>34337.934999999998</v>
      </c>
      <c r="O71" s="11">
        <v>34006.427499999998</v>
      </c>
      <c r="P71" s="11">
        <v>35851.771000000001</v>
      </c>
      <c r="Q71" s="11">
        <v>38831.834999999999</v>
      </c>
      <c r="R71" s="11">
        <v>40431.078000000001</v>
      </c>
      <c r="S71" s="11">
        <v>41425.000999999997</v>
      </c>
      <c r="T71" s="11">
        <v>41589.143499999998</v>
      </c>
      <c r="U71" s="11">
        <v>42241.553500000002</v>
      </c>
      <c r="V71" s="11">
        <v>42067.690999999999</v>
      </c>
      <c r="W71" s="11">
        <v>41569.953000000001</v>
      </c>
      <c r="X71" s="11">
        <v>38853.229500000001</v>
      </c>
      <c r="Y71" s="11">
        <v>35173.578000000001</v>
      </c>
      <c r="Z71" s="11">
        <v>30974.401999999998</v>
      </c>
      <c r="AA71" s="11">
        <v>23427.012999999999</v>
      </c>
      <c r="AB71" s="11">
        <v>18426.182000000001</v>
      </c>
      <c r="AC71" s="11">
        <v>12418.1505</v>
      </c>
      <c r="AD71" s="11">
        <v>6191.3564999999999</v>
      </c>
      <c r="AE71" s="11">
        <v>1940.1434999999999</v>
      </c>
      <c r="AF71" s="11">
        <v>308.21800000000002</v>
      </c>
    </row>
    <row r="72" spans="1:32" x14ac:dyDescent="0.4">
      <c r="A72" s="7">
        <v>1298</v>
      </c>
      <c r="B72" s="7" t="s">
        <v>32</v>
      </c>
      <c r="C72" s="16" t="s">
        <v>64</v>
      </c>
      <c r="D72" s="9" t="s">
        <v>62</v>
      </c>
      <c r="E72" s="9">
        <v>1517</v>
      </c>
      <c r="F72" s="9" t="s">
        <v>34</v>
      </c>
      <c r="G72" s="9" t="s">
        <v>34</v>
      </c>
      <c r="H72" s="9" t="s">
        <v>34</v>
      </c>
      <c r="I72" s="10" t="s">
        <v>63</v>
      </c>
      <c r="J72" s="9">
        <v>1802</v>
      </c>
      <c r="K72" s="9">
        <v>2020</v>
      </c>
      <c r="L72" s="11">
        <v>242616.59349999999</v>
      </c>
      <c r="M72" s="11">
        <v>246494.61900000001</v>
      </c>
      <c r="N72" s="11">
        <v>236716.73749999999</v>
      </c>
      <c r="O72" s="11">
        <v>226782.52650000001</v>
      </c>
      <c r="P72" s="11">
        <v>220679.3695</v>
      </c>
      <c r="Q72" s="11">
        <v>224390.745</v>
      </c>
      <c r="R72" s="11">
        <v>230415.516</v>
      </c>
      <c r="S72" s="11">
        <v>209248.83549999999</v>
      </c>
      <c r="T72" s="11">
        <v>185028.82550000001</v>
      </c>
      <c r="U72" s="11">
        <v>181362.2635</v>
      </c>
      <c r="V72" s="11">
        <v>168736.49950000001</v>
      </c>
      <c r="W72" s="11">
        <v>145817.451</v>
      </c>
      <c r="X72" s="11">
        <v>119952.40549999999</v>
      </c>
      <c r="Y72" s="11">
        <v>101984.06</v>
      </c>
      <c r="Z72" s="11">
        <v>69435.970499999996</v>
      </c>
      <c r="AA72" s="11">
        <v>44769.104500000001</v>
      </c>
      <c r="AB72" s="11">
        <v>30713.573499999999</v>
      </c>
      <c r="AC72" s="11">
        <v>15354.8115</v>
      </c>
      <c r="AD72" s="11">
        <v>5593.0225</v>
      </c>
      <c r="AE72" s="11">
        <v>1155.059</v>
      </c>
      <c r="AF72" s="11">
        <v>133.994</v>
      </c>
    </row>
    <row r="73" spans="1:32" x14ac:dyDescent="0.4">
      <c r="A73" s="7">
        <v>1370</v>
      </c>
      <c r="B73" s="7" t="s">
        <v>32</v>
      </c>
      <c r="C73" s="17" t="s">
        <v>65</v>
      </c>
      <c r="D73" s="9" t="s">
        <v>62</v>
      </c>
      <c r="E73" s="9">
        <v>1502</v>
      </c>
      <c r="F73" s="9" t="s">
        <v>34</v>
      </c>
      <c r="G73" s="9" t="s">
        <v>34</v>
      </c>
      <c r="H73" s="9">
        <v>914</v>
      </c>
      <c r="I73" s="10" t="s">
        <v>63</v>
      </c>
      <c r="J73" s="9">
        <v>1517</v>
      </c>
      <c r="K73" s="9">
        <v>2020</v>
      </c>
      <c r="L73" s="11">
        <v>78316.66</v>
      </c>
      <c r="M73" s="11">
        <v>83826.6685</v>
      </c>
      <c r="N73" s="11">
        <v>79935.490000000005</v>
      </c>
      <c r="O73" s="11">
        <v>76291.938500000004</v>
      </c>
      <c r="P73" s="11">
        <v>78974.355500000005</v>
      </c>
      <c r="Q73" s="11">
        <v>88994.395499999999</v>
      </c>
      <c r="R73" s="11">
        <v>102322.7815</v>
      </c>
      <c r="S73" s="11">
        <v>92139.1875</v>
      </c>
      <c r="T73" s="11">
        <v>83093.255000000005</v>
      </c>
      <c r="U73" s="11">
        <v>92055.051000000007</v>
      </c>
      <c r="V73" s="11">
        <v>91540.131500000003</v>
      </c>
      <c r="W73" s="11">
        <v>79267.163</v>
      </c>
      <c r="X73" s="11">
        <v>64735.997000000003</v>
      </c>
      <c r="Y73" s="11">
        <v>59734.804499999998</v>
      </c>
      <c r="Z73" s="11">
        <v>40742.803999999996</v>
      </c>
      <c r="AA73" s="11">
        <v>26175.013999999999</v>
      </c>
      <c r="AB73" s="11">
        <v>19183.6185</v>
      </c>
      <c r="AC73" s="11">
        <v>10178.808999999999</v>
      </c>
      <c r="AD73" s="11">
        <v>3907.4470000000001</v>
      </c>
      <c r="AE73" s="11">
        <v>821.51850000000002</v>
      </c>
      <c r="AF73" s="11">
        <v>93.644000000000005</v>
      </c>
    </row>
    <row r="74" spans="1:32" x14ac:dyDescent="0.4">
      <c r="A74" s="7">
        <v>1442</v>
      </c>
      <c r="B74" s="7" t="s">
        <v>32</v>
      </c>
      <c r="C74" s="17" t="s">
        <v>66</v>
      </c>
      <c r="D74" s="9" t="s">
        <v>62</v>
      </c>
      <c r="E74" s="9">
        <v>1501</v>
      </c>
      <c r="F74" s="9" t="s">
        <v>34</v>
      </c>
      <c r="G74" s="9" t="s">
        <v>34</v>
      </c>
      <c r="H74" s="9">
        <v>912</v>
      </c>
      <c r="I74" s="10" t="s">
        <v>63</v>
      </c>
      <c r="J74" s="9">
        <v>1517</v>
      </c>
      <c r="K74" s="9">
        <v>2020</v>
      </c>
      <c r="L74" s="11">
        <v>164299.93350000001</v>
      </c>
      <c r="M74" s="11">
        <v>162667.95050000001</v>
      </c>
      <c r="N74" s="11">
        <v>156781.2475</v>
      </c>
      <c r="O74" s="11">
        <v>150490.58799999999</v>
      </c>
      <c r="P74" s="11">
        <v>141705.014</v>
      </c>
      <c r="Q74" s="11">
        <v>135396.34950000001</v>
      </c>
      <c r="R74" s="11">
        <v>128092.73450000001</v>
      </c>
      <c r="S74" s="11">
        <v>117109.648</v>
      </c>
      <c r="T74" s="11">
        <v>101935.5705</v>
      </c>
      <c r="U74" s="11">
        <v>89307.212499999994</v>
      </c>
      <c r="V74" s="11">
        <v>77196.368000000002</v>
      </c>
      <c r="W74" s="11">
        <v>66550.288</v>
      </c>
      <c r="X74" s="11">
        <v>55216.408499999998</v>
      </c>
      <c r="Y74" s="11">
        <v>42249.255499999999</v>
      </c>
      <c r="Z74" s="11">
        <v>28693.166499999999</v>
      </c>
      <c r="AA74" s="11">
        <v>18594.090499999998</v>
      </c>
      <c r="AB74" s="11">
        <v>11529.955</v>
      </c>
      <c r="AC74" s="11">
        <v>5176.0024999999996</v>
      </c>
      <c r="AD74" s="11">
        <v>1685.5754999999999</v>
      </c>
      <c r="AE74" s="11">
        <v>333.54050000000001</v>
      </c>
      <c r="AF74" s="11">
        <v>40.35</v>
      </c>
    </row>
    <row r="75" spans="1:32" x14ac:dyDescent="0.4">
      <c r="A75" s="7">
        <v>1514</v>
      </c>
      <c r="B75" s="7" t="s">
        <v>32</v>
      </c>
      <c r="C75" s="16" t="s">
        <v>67</v>
      </c>
      <c r="D75" s="9" t="s">
        <v>62</v>
      </c>
      <c r="E75" s="9">
        <v>1500</v>
      </c>
      <c r="F75" s="9" t="s">
        <v>34</v>
      </c>
      <c r="G75" s="9" t="s">
        <v>34</v>
      </c>
      <c r="H75" s="9">
        <v>911</v>
      </c>
      <c r="I75" s="10" t="s">
        <v>63</v>
      </c>
      <c r="J75" s="9">
        <v>1802</v>
      </c>
      <c r="K75" s="9">
        <v>2020</v>
      </c>
      <c r="L75" s="11">
        <v>54348.050999999999</v>
      </c>
      <c r="M75" s="11">
        <v>48557.928</v>
      </c>
      <c r="N75" s="11">
        <v>43357.173000000003</v>
      </c>
      <c r="O75" s="11">
        <v>37625.529499999997</v>
      </c>
      <c r="P75" s="11">
        <v>32127.434000000001</v>
      </c>
      <c r="Q75" s="11">
        <v>27043.7955</v>
      </c>
      <c r="R75" s="11">
        <v>22644.216499999999</v>
      </c>
      <c r="S75" s="11">
        <v>18620.297999999999</v>
      </c>
      <c r="T75" s="11">
        <v>15227.4925</v>
      </c>
      <c r="U75" s="11">
        <v>12712.2875</v>
      </c>
      <c r="V75" s="11">
        <v>10585.263000000001</v>
      </c>
      <c r="W75" s="11">
        <v>8458.8554999999997</v>
      </c>
      <c r="X75" s="11">
        <v>6678.66</v>
      </c>
      <c r="Y75" s="11">
        <v>4858.9174999999996</v>
      </c>
      <c r="Z75" s="11">
        <v>3503.6109999999999</v>
      </c>
      <c r="AA75" s="11">
        <v>2224.614</v>
      </c>
      <c r="AB75" s="11">
        <v>1179.4485</v>
      </c>
      <c r="AC75" s="11">
        <v>456.35149999999999</v>
      </c>
      <c r="AD75" s="11">
        <v>121.76600000000001</v>
      </c>
      <c r="AE75" s="11">
        <v>19.2515</v>
      </c>
      <c r="AF75" s="11">
        <v>2.0649999999999999</v>
      </c>
    </row>
    <row r="76" spans="1:32" x14ac:dyDescent="0.4">
      <c r="A76" s="7">
        <v>1586</v>
      </c>
      <c r="B76" s="7" t="s">
        <v>32</v>
      </c>
      <c r="C76" s="16" t="s">
        <v>70</v>
      </c>
      <c r="D76" s="9" t="s">
        <v>34</v>
      </c>
      <c r="E76" s="9">
        <v>1518</v>
      </c>
      <c r="F76" s="9" t="s">
        <v>34</v>
      </c>
      <c r="G76" s="9" t="s">
        <v>34</v>
      </c>
      <c r="H76" s="9" t="s">
        <v>34</v>
      </c>
      <c r="I76" s="10" t="s">
        <v>63</v>
      </c>
      <c r="J76" s="9">
        <v>1802</v>
      </c>
      <c r="K76" s="9">
        <v>2020</v>
      </c>
      <c r="L76" s="11">
        <v>1246.4375</v>
      </c>
      <c r="M76" s="11">
        <v>1373.3975</v>
      </c>
      <c r="N76" s="11">
        <v>1406.4915000000001</v>
      </c>
      <c r="O76" s="11">
        <v>1262.3050000000001</v>
      </c>
      <c r="P76" s="11">
        <v>1032.251</v>
      </c>
      <c r="Q76" s="11">
        <v>960.59500000000003</v>
      </c>
      <c r="R76" s="11">
        <v>998.43449999999996</v>
      </c>
      <c r="S76" s="11">
        <v>989.01599999999996</v>
      </c>
      <c r="T76" s="11">
        <v>962.94500000000005</v>
      </c>
      <c r="U76" s="11">
        <v>891.70050000000003</v>
      </c>
      <c r="V76" s="11">
        <v>830.30449999999996</v>
      </c>
      <c r="W76" s="11">
        <v>745.71749999999997</v>
      </c>
      <c r="X76" s="11">
        <v>640.87049999999999</v>
      </c>
      <c r="Y76" s="11">
        <v>491.3655</v>
      </c>
      <c r="Z76" s="11">
        <v>352.70249999999999</v>
      </c>
      <c r="AA76" s="11">
        <v>250.83949999999999</v>
      </c>
      <c r="AB76" s="11">
        <v>152.25899999999999</v>
      </c>
      <c r="AC76" s="11">
        <v>65.412499999999994</v>
      </c>
      <c r="AD76" s="11">
        <v>15.4955</v>
      </c>
      <c r="AE76" s="11">
        <v>1.4085000000000001</v>
      </c>
      <c r="AF76" s="11">
        <v>4.5999999999999999E-2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F8CA-91A5-4667-9C55-12961609A92E}">
  <dimension ref="A1:R73"/>
  <sheetViews>
    <sheetView topLeftCell="A20" workbookViewId="0">
      <selection activeCell="C2" sqref="C2:R3"/>
    </sheetView>
  </sheetViews>
  <sheetFormatPr defaultRowHeight="14.6" x14ac:dyDescent="0.4"/>
  <cols>
    <col min="8" max="8" width="16.3046875" customWidth="1"/>
    <col min="10" max="10" width="14.07421875" customWidth="1"/>
  </cols>
  <sheetData>
    <row r="1" spans="1:18" x14ac:dyDescent="0.4">
      <c r="A1" s="21">
        <v>2020</v>
      </c>
      <c r="B1" s="27" t="s">
        <v>83</v>
      </c>
    </row>
    <row r="2" spans="1:18" x14ac:dyDescent="0.4">
      <c r="A2" s="21"/>
      <c r="B2" s="14"/>
      <c r="C2" s="31" t="s">
        <v>80</v>
      </c>
      <c r="D2" s="31"/>
      <c r="E2" s="31"/>
      <c r="F2" s="31"/>
      <c r="G2" s="31"/>
      <c r="H2" s="31"/>
      <c r="I2" s="31"/>
      <c r="J2" s="31"/>
      <c r="K2" s="32" t="s">
        <v>81</v>
      </c>
      <c r="L2" s="32"/>
      <c r="M2" s="32"/>
      <c r="N2" s="33" t="s">
        <v>82</v>
      </c>
      <c r="O2" s="33"/>
      <c r="P2" s="33"/>
      <c r="Q2" s="33"/>
      <c r="R2" s="33"/>
    </row>
    <row r="3" spans="1:18" ht="47.15" x14ac:dyDescent="0.4">
      <c r="A3" s="2" t="s">
        <v>75</v>
      </c>
      <c r="B3" s="19" t="s">
        <v>33</v>
      </c>
      <c r="C3" s="20" t="s">
        <v>36</v>
      </c>
      <c r="D3" s="20" t="s">
        <v>39</v>
      </c>
      <c r="E3" s="20" t="s">
        <v>40</v>
      </c>
      <c r="F3" s="20" t="s">
        <v>41</v>
      </c>
      <c r="G3" s="20" t="s">
        <v>42</v>
      </c>
      <c r="H3" s="20" t="s">
        <v>43</v>
      </c>
      <c r="I3" s="20" t="s">
        <v>44</v>
      </c>
      <c r="J3" s="20" t="s">
        <v>45</v>
      </c>
      <c r="K3" s="20" t="s">
        <v>46</v>
      </c>
      <c r="L3" s="20" t="s">
        <v>49</v>
      </c>
      <c r="M3" s="20" t="s">
        <v>51</v>
      </c>
      <c r="N3" s="20" t="s">
        <v>61</v>
      </c>
      <c r="O3" s="20" t="s">
        <v>64</v>
      </c>
      <c r="P3" s="20" t="s">
        <v>65</v>
      </c>
      <c r="Q3" s="20" t="s">
        <v>66</v>
      </c>
      <c r="R3" s="20" t="s">
        <v>67</v>
      </c>
    </row>
    <row r="4" spans="1:18" x14ac:dyDescent="0.4">
      <c r="A4" s="6" t="s">
        <v>11</v>
      </c>
      <c r="B4" s="11">
        <v>679146.20200000005</v>
      </c>
      <c r="C4" s="11">
        <v>175016.2555</v>
      </c>
      <c r="D4" s="11">
        <v>57659.165000000001</v>
      </c>
      <c r="E4" s="11">
        <v>187571.36350000001</v>
      </c>
      <c r="F4" s="11">
        <v>145990.258</v>
      </c>
      <c r="G4" s="11">
        <v>50461.503499999999</v>
      </c>
      <c r="H4" s="11">
        <v>1578.5235</v>
      </c>
      <c r="I4" s="11">
        <v>1864.2974999999999</v>
      </c>
      <c r="J4" s="11">
        <v>59004.835500000001</v>
      </c>
      <c r="K4" s="11">
        <v>65302.955499999996</v>
      </c>
      <c r="L4" s="11">
        <v>613843.24650000001</v>
      </c>
      <c r="M4" s="11">
        <v>154812.3235</v>
      </c>
      <c r="N4" s="11">
        <v>64493.512000000002</v>
      </c>
      <c r="O4" s="11">
        <v>501864.02399999998</v>
      </c>
      <c r="P4" s="11">
        <v>163700.9405</v>
      </c>
      <c r="Q4" s="11">
        <v>338163.08350000001</v>
      </c>
      <c r="R4" s="11">
        <v>110225.6455</v>
      </c>
    </row>
    <row r="5" spans="1:18" x14ac:dyDescent="0.4">
      <c r="A5" s="6" t="s">
        <v>12</v>
      </c>
      <c r="B5" s="11">
        <v>681410.50950000004</v>
      </c>
      <c r="C5" s="11">
        <v>156010.16399999999</v>
      </c>
      <c r="D5" s="11">
        <v>57196.459000000003</v>
      </c>
      <c r="E5" s="11">
        <v>191136.37049999999</v>
      </c>
      <c r="F5" s="11">
        <v>157804.91649999999</v>
      </c>
      <c r="G5" s="11">
        <v>52348.614500000003</v>
      </c>
      <c r="H5" s="11">
        <v>1514.4414999999999</v>
      </c>
      <c r="I5" s="11">
        <v>1946.5035</v>
      </c>
      <c r="J5" s="11">
        <v>63453.04</v>
      </c>
      <c r="K5" s="11">
        <v>70490.737999999998</v>
      </c>
      <c r="L5" s="11">
        <v>610919.77150000003</v>
      </c>
      <c r="M5" s="11">
        <v>139389.726</v>
      </c>
      <c r="N5" s="11">
        <v>68589.490000000005</v>
      </c>
      <c r="O5" s="11">
        <v>511708.49650000001</v>
      </c>
      <c r="P5" s="11">
        <v>176303.35449999999</v>
      </c>
      <c r="Q5" s="11">
        <v>335405.14199999999</v>
      </c>
      <c r="R5" s="11">
        <v>98290.487500000003</v>
      </c>
    </row>
    <row r="6" spans="1:18" x14ac:dyDescent="0.4">
      <c r="A6" s="6" t="s">
        <v>13</v>
      </c>
      <c r="B6" s="11">
        <v>653182.02800000005</v>
      </c>
      <c r="C6" s="11">
        <v>138327.21100000001</v>
      </c>
      <c r="D6" s="11">
        <v>51236.713000000003</v>
      </c>
      <c r="E6" s="11">
        <v>191220.75349999999</v>
      </c>
      <c r="F6" s="11">
        <v>151959.57500000001</v>
      </c>
      <c r="G6" s="11">
        <v>52807.705000000002</v>
      </c>
      <c r="H6" s="11">
        <v>1412.1295</v>
      </c>
      <c r="I6" s="11">
        <v>1913.9355</v>
      </c>
      <c r="J6" s="11">
        <v>64304.005499999999</v>
      </c>
      <c r="K6" s="11">
        <v>71616.722999999998</v>
      </c>
      <c r="L6" s="11">
        <v>581565.30500000005</v>
      </c>
      <c r="M6" s="11">
        <v>127074.9405</v>
      </c>
      <c r="N6" s="11">
        <v>70473.3995</v>
      </c>
      <c r="O6" s="11">
        <v>492185.4155</v>
      </c>
      <c r="P6" s="11">
        <v>168418.28899999999</v>
      </c>
      <c r="Q6" s="11">
        <v>323767.12650000001</v>
      </c>
      <c r="R6" s="11">
        <v>87637.714000000007</v>
      </c>
    </row>
    <row r="7" spans="1:18" x14ac:dyDescent="0.4">
      <c r="A7" s="6" t="s">
        <v>14</v>
      </c>
      <c r="B7" s="11">
        <v>619493.50749999995</v>
      </c>
      <c r="C7" s="11">
        <v>118349.18949999999</v>
      </c>
      <c r="D7" s="11">
        <v>45924.005499999999</v>
      </c>
      <c r="E7" s="11">
        <v>191298.356</v>
      </c>
      <c r="F7" s="11">
        <v>144990.76300000001</v>
      </c>
      <c r="G7" s="11">
        <v>53517.923999999999</v>
      </c>
      <c r="H7" s="11">
        <v>1302.8420000000001</v>
      </c>
      <c r="I7" s="11">
        <v>1808.0630000000001</v>
      </c>
      <c r="J7" s="11">
        <v>62302.364500000003</v>
      </c>
      <c r="K7" s="11">
        <v>69814.84</v>
      </c>
      <c r="L7" s="11">
        <v>549678.66749999998</v>
      </c>
      <c r="M7" s="11">
        <v>114015.5815</v>
      </c>
      <c r="N7" s="11">
        <v>69863.145999999993</v>
      </c>
      <c r="O7" s="11">
        <v>471088.84250000003</v>
      </c>
      <c r="P7" s="11">
        <v>160378.02549999999</v>
      </c>
      <c r="Q7" s="11">
        <v>310710.81699999998</v>
      </c>
      <c r="R7" s="11">
        <v>75924.479999999996</v>
      </c>
    </row>
    <row r="8" spans="1:18" x14ac:dyDescent="0.4">
      <c r="A8" s="6" t="s">
        <v>15</v>
      </c>
      <c r="B8" s="11">
        <v>598042.50899999996</v>
      </c>
      <c r="C8" s="11">
        <v>99995.458499999993</v>
      </c>
      <c r="D8" s="11">
        <v>44078.983500000002</v>
      </c>
      <c r="E8" s="11">
        <v>182740.32</v>
      </c>
      <c r="F8" s="11">
        <v>149777.22</v>
      </c>
      <c r="G8" s="11">
        <v>54037.222500000003</v>
      </c>
      <c r="H8" s="11">
        <v>1193.431</v>
      </c>
      <c r="I8" s="11">
        <v>2059.2655</v>
      </c>
      <c r="J8" s="11">
        <v>64160.608</v>
      </c>
      <c r="K8" s="11">
        <v>72257.03</v>
      </c>
      <c r="L8" s="11">
        <v>525785.47900000005</v>
      </c>
      <c r="M8" s="11">
        <v>99312.134000000005</v>
      </c>
      <c r="N8" s="11">
        <v>74398.028999999995</v>
      </c>
      <c r="O8" s="11">
        <v>456821.26799999998</v>
      </c>
      <c r="P8" s="11">
        <v>165050.66750000001</v>
      </c>
      <c r="Q8" s="11">
        <v>291770.6005</v>
      </c>
      <c r="R8" s="11">
        <v>64675.364000000001</v>
      </c>
    </row>
    <row r="9" spans="1:18" x14ac:dyDescent="0.4">
      <c r="A9" s="6" t="s">
        <v>16</v>
      </c>
      <c r="B9" s="11">
        <v>598212.11849999998</v>
      </c>
      <c r="C9" s="11">
        <v>85523.061000000002</v>
      </c>
      <c r="D9" s="11">
        <v>44091.839999999997</v>
      </c>
      <c r="E9" s="11">
        <v>174082.709</v>
      </c>
      <c r="F9" s="11">
        <v>167021.02799999999</v>
      </c>
      <c r="G9" s="11">
        <v>53002.648500000003</v>
      </c>
      <c r="H9" s="11">
        <v>1104.1485</v>
      </c>
      <c r="I9" s="11">
        <v>2310.2494999999999</v>
      </c>
      <c r="J9" s="11">
        <v>71076.433999999994</v>
      </c>
      <c r="K9" s="11">
        <v>79480.982499999998</v>
      </c>
      <c r="L9" s="11">
        <v>518731.136</v>
      </c>
      <c r="M9" s="11">
        <v>85828.896999999997</v>
      </c>
      <c r="N9" s="11">
        <v>80616.776500000007</v>
      </c>
      <c r="O9" s="11">
        <v>461384.56900000002</v>
      </c>
      <c r="P9" s="11">
        <v>184460.28750000001</v>
      </c>
      <c r="Q9" s="11">
        <v>276924.28149999998</v>
      </c>
      <c r="R9" s="11">
        <v>54238.15</v>
      </c>
    </row>
    <row r="10" spans="1:18" x14ac:dyDescent="0.4">
      <c r="A10" s="6" t="s">
        <v>17</v>
      </c>
      <c r="B10" s="11">
        <v>601652.96750000003</v>
      </c>
      <c r="C10" s="11">
        <v>73646.021500000003</v>
      </c>
      <c r="D10" s="11">
        <v>43188.722500000003</v>
      </c>
      <c r="E10" s="11">
        <v>163687.41250000001</v>
      </c>
      <c r="F10" s="11">
        <v>188618.285</v>
      </c>
      <c r="G10" s="11">
        <v>51202.394</v>
      </c>
      <c r="H10" s="11">
        <v>998.30449999999996</v>
      </c>
      <c r="I10" s="11">
        <v>2301.9899999999998</v>
      </c>
      <c r="J10" s="11">
        <v>78009.837499999994</v>
      </c>
      <c r="K10" s="11">
        <v>86828.554000000004</v>
      </c>
      <c r="L10" s="11">
        <v>514824.41350000002</v>
      </c>
      <c r="M10" s="11">
        <v>73900.038</v>
      </c>
      <c r="N10" s="11">
        <v>83726.062000000005</v>
      </c>
      <c r="O10" s="11">
        <v>470664.64299999998</v>
      </c>
      <c r="P10" s="11">
        <v>210107.01699999999</v>
      </c>
      <c r="Q10" s="11">
        <v>260557.62599999999</v>
      </c>
      <c r="R10" s="11">
        <v>45261.873500000002</v>
      </c>
    </row>
    <row r="11" spans="1:18" x14ac:dyDescent="0.4">
      <c r="A11" s="6" t="s">
        <v>18</v>
      </c>
      <c r="B11" s="11">
        <v>549704.94099999999</v>
      </c>
      <c r="C11" s="11">
        <v>61915.451500000003</v>
      </c>
      <c r="D11" s="11">
        <v>40311.072500000002</v>
      </c>
      <c r="E11" s="11">
        <v>147295.17199999999</v>
      </c>
      <c r="F11" s="11">
        <v>170753.30549999999</v>
      </c>
      <c r="G11" s="11">
        <v>48437.002</v>
      </c>
      <c r="H11" s="11">
        <v>872.73699999999997</v>
      </c>
      <c r="I11" s="11">
        <v>2170.442</v>
      </c>
      <c r="J11" s="11">
        <v>77949.758499999996</v>
      </c>
      <c r="K11" s="11">
        <v>87298.228499999997</v>
      </c>
      <c r="L11" s="11">
        <v>462406.71250000002</v>
      </c>
      <c r="M11" s="11">
        <v>62476.673000000003</v>
      </c>
      <c r="N11" s="11">
        <v>85604.868000000002</v>
      </c>
      <c r="O11" s="11">
        <v>425026.16350000002</v>
      </c>
      <c r="P11" s="11">
        <v>187151.66949999999</v>
      </c>
      <c r="Q11" s="11">
        <v>237874.49400000001</v>
      </c>
      <c r="R11" s="11">
        <v>37121.133500000004</v>
      </c>
    </row>
    <row r="12" spans="1:18" x14ac:dyDescent="0.4">
      <c r="A12" s="6" t="s">
        <v>19</v>
      </c>
      <c r="B12" s="11">
        <v>491737.685</v>
      </c>
      <c r="C12" s="11">
        <v>49916.413</v>
      </c>
      <c r="D12" s="11">
        <v>35358.504500000003</v>
      </c>
      <c r="E12" s="11">
        <v>127382.887</v>
      </c>
      <c r="F12" s="11">
        <v>156343.73149999999</v>
      </c>
      <c r="G12" s="11">
        <v>44332.249000000003</v>
      </c>
      <c r="H12" s="11">
        <v>753.67849999999999</v>
      </c>
      <c r="I12" s="11">
        <v>1934.0239999999999</v>
      </c>
      <c r="J12" s="11">
        <v>75716.197499999995</v>
      </c>
      <c r="K12" s="11">
        <v>86040.620999999999</v>
      </c>
      <c r="L12" s="11">
        <v>405697.06400000001</v>
      </c>
      <c r="M12" s="11">
        <v>51223.290999999997</v>
      </c>
      <c r="N12" s="11">
        <v>85488.660999999993</v>
      </c>
      <c r="O12" s="11">
        <v>374202.96950000001</v>
      </c>
      <c r="P12" s="11">
        <v>167434.55499999999</v>
      </c>
      <c r="Q12" s="11">
        <v>206768.41450000001</v>
      </c>
      <c r="R12" s="11">
        <v>30158.107</v>
      </c>
    </row>
    <row r="13" spans="1:18" x14ac:dyDescent="0.4">
      <c r="A13" s="6" t="s">
        <v>20</v>
      </c>
      <c r="B13" s="11">
        <v>477345.11</v>
      </c>
      <c r="C13" s="11">
        <v>39864.377500000002</v>
      </c>
      <c r="D13" s="11">
        <v>29681.406500000001</v>
      </c>
      <c r="E13" s="11">
        <v>112124.66650000001</v>
      </c>
      <c r="F13" s="11">
        <v>177881.13200000001</v>
      </c>
      <c r="G13" s="11">
        <v>39913.664499999999</v>
      </c>
      <c r="H13" s="11">
        <v>646.66549999999995</v>
      </c>
      <c r="I13" s="11">
        <v>2000.7919999999999</v>
      </c>
      <c r="J13" s="11">
        <v>75232.405499999993</v>
      </c>
      <c r="K13" s="11">
        <v>86903.457999999999</v>
      </c>
      <c r="L13" s="11">
        <v>390441.652</v>
      </c>
      <c r="M13" s="11">
        <v>42458.201999999997</v>
      </c>
      <c r="N13" s="11">
        <v>86166.941000000006</v>
      </c>
      <c r="O13" s="11">
        <v>364539.47899999999</v>
      </c>
      <c r="P13" s="11">
        <v>184230.22450000001</v>
      </c>
      <c r="Q13" s="11">
        <v>180309.25450000001</v>
      </c>
      <c r="R13" s="11">
        <v>24900.9175</v>
      </c>
    </row>
    <row r="14" spans="1:18" x14ac:dyDescent="0.4">
      <c r="A14" s="6" t="s">
        <v>21</v>
      </c>
      <c r="B14" s="11">
        <v>443293.00699999998</v>
      </c>
      <c r="C14" s="11">
        <v>32322.116000000002</v>
      </c>
      <c r="D14" s="11">
        <v>24996.118999999999</v>
      </c>
      <c r="E14" s="11">
        <v>96905.097999999998</v>
      </c>
      <c r="F14" s="11">
        <v>175187.55350000001</v>
      </c>
      <c r="G14" s="11">
        <v>35963.621500000001</v>
      </c>
      <c r="H14" s="11">
        <v>550.28899999999999</v>
      </c>
      <c r="I14" s="11">
        <v>1892.067</v>
      </c>
      <c r="J14" s="11">
        <v>75476.142999999996</v>
      </c>
      <c r="K14" s="11">
        <v>85875.437000000005</v>
      </c>
      <c r="L14" s="11">
        <v>357417.57</v>
      </c>
      <c r="M14" s="11">
        <v>34751.805500000002</v>
      </c>
      <c r="N14" s="11">
        <v>85037.751499999998</v>
      </c>
      <c r="O14" s="11">
        <v>336245.48249999998</v>
      </c>
      <c r="P14" s="11">
        <v>181370.72399999999</v>
      </c>
      <c r="Q14" s="11">
        <v>154874.7585</v>
      </c>
      <c r="R14" s="11">
        <v>20404.773000000001</v>
      </c>
    </row>
    <row r="15" spans="1:18" x14ac:dyDescent="0.4">
      <c r="A15" s="6" t="s">
        <v>22</v>
      </c>
      <c r="B15" s="11">
        <v>387139.4</v>
      </c>
      <c r="C15" s="11">
        <v>25318.693500000001</v>
      </c>
      <c r="D15" s="11">
        <v>20225.2</v>
      </c>
      <c r="E15" s="11">
        <v>83057.626499999998</v>
      </c>
      <c r="F15" s="11">
        <v>147155.31299999999</v>
      </c>
      <c r="G15" s="11">
        <v>32012.84</v>
      </c>
      <c r="H15" s="11">
        <v>448.37049999999999</v>
      </c>
      <c r="I15" s="11">
        <v>1866.7525000000001</v>
      </c>
      <c r="J15" s="11">
        <v>77054.604000000007</v>
      </c>
      <c r="K15" s="11">
        <v>86747.914499999999</v>
      </c>
      <c r="L15" s="11">
        <v>300391.48550000001</v>
      </c>
      <c r="M15" s="11">
        <v>27852.728999999999</v>
      </c>
      <c r="N15" s="11">
        <v>82813.755499999999</v>
      </c>
      <c r="O15" s="11">
        <v>286896.625</v>
      </c>
      <c r="P15" s="11">
        <v>154820.33600000001</v>
      </c>
      <c r="Q15" s="11">
        <v>132076.28899999999</v>
      </c>
      <c r="R15" s="11">
        <v>16004.744000000001</v>
      </c>
    </row>
    <row r="16" spans="1:18" x14ac:dyDescent="0.4">
      <c r="A16" s="6" t="s">
        <v>23</v>
      </c>
      <c r="B16" s="11">
        <v>321115.33750000002</v>
      </c>
      <c r="C16" s="11">
        <v>19156.430499999999</v>
      </c>
      <c r="D16" s="11">
        <v>15514.537</v>
      </c>
      <c r="E16" s="11">
        <v>68421.481</v>
      </c>
      <c r="F16" s="11">
        <v>116998.02650000001</v>
      </c>
      <c r="G16" s="11">
        <v>26418.918000000001</v>
      </c>
      <c r="H16" s="11">
        <v>324.42849999999999</v>
      </c>
      <c r="I16" s="11">
        <v>1707.1865</v>
      </c>
      <c r="J16" s="11">
        <v>72574.329500000007</v>
      </c>
      <c r="K16" s="11">
        <v>81626.028999999995</v>
      </c>
      <c r="L16" s="11">
        <v>239489.30850000001</v>
      </c>
      <c r="M16" s="11">
        <v>22055.155500000001</v>
      </c>
      <c r="N16" s="11">
        <v>76063.401500000007</v>
      </c>
      <c r="O16" s="11">
        <v>231398.72649999999</v>
      </c>
      <c r="P16" s="11">
        <v>123592.0575</v>
      </c>
      <c r="Q16" s="11">
        <v>107806.66899999999</v>
      </c>
      <c r="R16" s="11">
        <v>12453.4535</v>
      </c>
    </row>
    <row r="17" spans="1:18" x14ac:dyDescent="0.4">
      <c r="A17" s="6" t="s">
        <v>24</v>
      </c>
      <c r="B17" s="11">
        <v>269183.97249999997</v>
      </c>
      <c r="C17" s="11">
        <v>14092.924499999999</v>
      </c>
      <c r="D17" s="11">
        <v>11539.279500000001</v>
      </c>
      <c r="E17" s="11">
        <v>52426.438999999998</v>
      </c>
      <c r="F17" s="11">
        <v>105533.67750000001</v>
      </c>
      <c r="G17" s="11">
        <v>20755.680499999999</v>
      </c>
      <c r="H17" s="11">
        <v>216.29300000000001</v>
      </c>
      <c r="I17" s="11">
        <v>1490.8225</v>
      </c>
      <c r="J17" s="11">
        <v>63128.856</v>
      </c>
      <c r="K17" s="11">
        <v>72741.320999999996</v>
      </c>
      <c r="L17" s="11">
        <v>196442.65150000001</v>
      </c>
      <c r="M17" s="11">
        <v>16311.2165</v>
      </c>
      <c r="N17" s="11">
        <v>67240.111000000004</v>
      </c>
      <c r="O17" s="11">
        <v>192126.86900000001</v>
      </c>
      <c r="P17" s="11">
        <v>110898.3435</v>
      </c>
      <c r="Q17" s="11">
        <v>81228.525500000003</v>
      </c>
      <c r="R17" s="11">
        <v>8923.9555</v>
      </c>
    </row>
    <row r="18" spans="1:18" x14ac:dyDescent="0.4">
      <c r="A18" s="6" t="s">
        <v>25</v>
      </c>
      <c r="B18" s="11">
        <v>192454.75</v>
      </c>
      <c r="C18" s="11">
        <v>9592.1530000000002</v>
      </c>
      <c r="D18" s="11">
        <v>7807.7524999999996</v>
      </c>
      <c r="E18" s="11">
        <v>34235.692999999999</v>
      </c>
      <c r="F18" s="11">
        <v>72925.705499999996</v>
      </c>
      <c r="G18" s="11">
        <v>15083.209500000001</v>
      </c>
      <c r="H18" s="11">
        <v>141.11699999999999</v>
      </c>
      <c r="I18" s="11">
        <v>1305.692</v>
      </c>
      <c r="J18" s="11">
        <v>51363.427499999998</v>
      </c>
      <c r="K18" s="11">
        <v>61980.103000000003</v>
      </c>
      <c r="L18" s="11">
        <v>130474.647</v>
      </c>
      <c r="M18" s="11">
        <v>10787.404</v>
      </c>
      <c r="N18" s="11">
        <v>57900.436000000002</v>
      </c>
      <c r="O18" s="11">
        <v>127635.603</v>
      </c>
      <c r="P18" s="11">
        <v>74135.638999999996</v>
      </c>
      <c r="Q18" s="11">
        <v>53499.964</v>
      </c>
      <c r="R18" s="11">
        <v>6291.0865000000003</v>
      </c>
    </row>
    <row r="19" spans="1:18" x14ac:dyDescent="0.4">
      <c r="A19" s="6" t="s">
        <v>26</v>
      </c>
      <c r="B19" s="11">
        <v>126084.348</v>
      </c>
      <c r="C19" s="11">
        <v>5801.3774999999996</v>
      </c>
      <c r="D19" s="11">
        <v>4720.4780000000001</v>
      </c>
      <c r="E19" s="11">
        <v>21104.294999999998</v>
      </c>
      <c r="F19" s="11">
        <v>47600.500500000002</v>
      </c>
      <c r="G19" s="11">
        <v>10354.629499999999</v>
      </c>
      <c r="H19" s="11">
        <v>81.593500000000006</v>
      </c>
      <c r="I19" s="11">
        <v>916.71749999999997</v>
      </c>
      <c r="J19" s="11">
        <v>35504.756500000003</v>
      </c>
      <c r="K19" s="11">
        <v>43693.313499999997</v>
      </c>
      <c r="L19" s="11">
        <v>82391.034499999994</v>
      </c>
      <c r="M19" s="11">
        <v>6572.0320000000002</v>
      </c>
      <c r="N19" s="11">
        <v>42314.755499999999</v>
      </c>
      <c r="O19" s="11">
        <v>79477.230500000005</v>
      </c>
      <c r="P19" s="11">
        <v>46272.4355</v>
      </c>
      <c r="Q19" s="11">
        <v>33204.794999999998</v>
      </c>
      <c r="R19" s="11">
        <v>3858.7170000000001</v>
      </c>
    </row>
    <row r="20" spans="1:18" x14ac:dyDescent="0.4">
      <c r="A20" s="6" t="s">
        <v>27</v>
      </c>
      <c r="B20" s="11">
        <v>85059.072</v>
      </c>
      <c r="C20" s="11">
        <v>2887.7975000000001</v>
      </c>
      <c r="D20" s="11">
        <v>2847.8209999999999</v>
      </c>
      <c r="E20" s="11">
        <v>12236.835499999999</v>
      </c>
      <c r="F20" s="11">
        <v>31541.177</v>
      </c>
      <c r="G20" s="11">
        <v>6495.7254999999996</v>
      </c>
      <c r="H20" s="11">
        <v>41.165999999999997</v>
      </c>
      <c r="I20" s="11">
        <v>623.31449999999995</v>
      </c>
      <c r="J20" s="11">
        <v>28385.235000000001</v>
      </c>
      <c r="K20" s="11">
        <v>34592.120000000003</v>
      </c>
      <c r="L20" s="11">
        <v>50466.951999999997</v>
      </c>
      <c r="M20" s="11">
        <v>3310.3845000000001</v>
      </c>
      <c r="N20" s="11">
        <v>31614.181499999999</v>
      </c>
      <c r="O20" s="11">
        <v>51268.176500000001</v>
      </c>
      <c r="P20" s="11">
        <v>31758.631000000001</v>
      </c>
      <c r="Q20" s="11">
        <v>19509.5455</v>
      </c>
      <c r="R20" s="11">
        <v>1929.0625</v>
      </c>
    </row>
    <row r="21" spans="1:18" x14ac:dyDescent="0.4">
      <c r="A21" s="6" t="s">
        <v>28</v>
      </c>
      <c r="B21" s="11">
        <v>44648.644999999997</v>
      </c>
      <c r="C21" s="11">
        <v>1118.7725</v>
      </c>
      <c r="D21" s="11">
        <v>1240.2280000000001</v>
      </c>
      <c r="E21" s="11">
        <v>5366.8194999999996</v>
      </c>
      <c r="F21" s="11">
        <v>17100.973000000002</v>
      </c>
      <c r="G21" s="11">
        <v>3195.7064999999998</v>
      </c>
      <c r="H21" s="11">
        <v>16.103000000000002</v>
      </c>
      <c r="I21" s="11">
        <v>375.03250000000003</v>
      </c>
      <c r="J21" s="11">
        <v>16235.01</v>
      </c>
      <c r="K21" s="11">
        <v>20513.143499999998</v>
      </c>
      <c r="L21" s="11">
        <v>24135.501499999998</v>
      </c>
      <c r="M21" s="11">
        <v>1250.1165000000001</v>
      </c>
      <c r="N21" s="11">
        <v>19729.155500000001</v>
      </c>
      <c r="O21" s="11">
        <v>24131.232499999998</v>
      </c>
      <c r="P21" s="11">
        <v>15717.1335</v>
      </c>
      <c r="Q21" s="11">
        <v>8414.0990000000002</v>
      </c>
      <c r="R21" s="11">
        <v>691.86350000000004</v>
      </c>
    </row>
    <row r="22" spans="1:18" x14ac:dyDescent="0.4">
      <c r="A22" s="6" t="s">
        <v>29</v>
      </c>
      <c r="B22" s="11">
        <v>17369.871999999999</v>
      </c>
      <c r="C22" s="11">
        <v>327.4015</v>
      </c>
      <c r="D22" s="11">
        <v>366.59</v>
      </c>
      <c r="E22" s="11">
        <v>1683.787</v>
      </c>
      <c r="F22" s="11">
        <v>6420.6824999999999</v>
      </c>
      <c r="G22" s="11">
        <v>1165.1095</v>
      </c>
      <c r="H22" s="11">
        <v>4.8185000000000002</v>
      </c>
      <c r="I22" s="11">
        <v>185.989</v>
      </c>
      <c r="J22" s="11">
        <v>7215.4939999999997</v>
      </c>
      <c r="K22" s="11">
        <v>9444.777</v>
      </c>
      <c r="L22" s="11">
        <v>7925.0950000000003</v>
      </c>
      <c r="M22" s="11">
        <v>312.85700000000003</v>
      </c>
      <c r="N22" s="11">
        <v>9056.0305000000008</v>
      </c>
      <c r="O22" s="11">
        <v>8126.7475000000004</v>
      </c>
      <c r="P22" s="11">
        <v>5505.7169999999996</v>
      </c>
      <c r="Q22" s="11">
        <v>2621.0304999999998</v>
      </c>
      <c r="R22" s="11">
        <v>168.10550000000001</v>
      </c>
    </row>
    <row r="23" spans="1:18" x14ac:dyDescent="0.4">
      <c r="A23" s="6" t="s">
        <v>30</v>
      </c>
      <c r="B23" s="11">
        <v>4129.3549999999996</v>
      </c>
      <c r="C23" s="11">
        <v>66.619</v>
      </c>
      <c r="D23" s="11">
        <v>64.251499999999993</v>
      </c>
      <c r="E23" s="11">
        <v>324.59949999999998</v>
      </c>
      <c r="F23" s="11">
        <v>1518.6410000000001</v>
      </c>
      <c r="G23" s="11">
        <v>288.65300000000002</v>
      </c>
      <c r="H23" s="11">
        <v>1.0029999999999999</v>
      </c>
      <c r="I23" s="11">
        <v>51.436500000000002</v>
      </c>
      <c r="J23" s="11">
        <v>1814.1514999999999</v>
      </c>
      <c r="K23" s="11">
        <v>2555.6595000000002</v>
      </c>
      <c r="L23" s="11">
        <v>1573.6955</v>
      </c>
      <c r="M23" s="11">
        <v>44.045000000000002</v>
      </c>
      <c r="N23" s="11">
        <v>2545.4899999999998</v>
      </c>
      <c r="O23" s="11">
        <v>1558.0445</v>
      </c>
      <c r="P23" s="11">
        <v>1057.5139999999999</v>
      </c>
      <c r="Q23" s="11">
        <v>500.53050000000002</v>
      </c>
      <c r="R23" s="11">
        <v>24.32</v>
      </c>
    </row>
    <row r="24" spans="1:18" x14ac:dyDescent="0.4">
      <c r="A24" s="6" t="s">
        <v>31</v>
      </c>
      <c r="B24" s="11">
        <v>547.54300000000001</v>
      </c>
      <c r="C24" s="11">
        <v>11.5715</v>
      </c>
      <c r="D24" s="11">
        <v>6.3304999999999998</v>
      </c>
      <c r="E24" s="11">
        <v>39.625999999999998</v>
      </c>
      <c r="F24" s="11">
        <v>221.61150000000001</v>
      </c>
      <c r="G24" s="11">
        <v>41.100499999999997</v>
      </c>
      <c r="H24" s="11">
        <v>0.158</v>
      </c>
      <c r="I24" s="11">
        <v>6.6109999999999998</v>
      </c>
      <c r="J24" s="11">
        <v>220.53399999999999</v>
      </c>
      <c r="K24" s="11">
        <v>354.02350000000001</v>
      </c>
      <c r="L24" s="11">
        <v>193.51949999999999</v>
      </c>
      <c r="M24" s="11">
        <v>3.8980000000000001</v>
      </c>
      <c r="N24" s="11">
        <v>370.81650000000002</v>
      </c>
      <c r="O24" s="11">
        <v>174.0855</v>
      </c>
      <c r="P24" s="11">
        <v>113.5855</v>
      </c>
      <c r="Q24" s="11">
        <v>60.5</v>
      </c>
      <c r="R24" s="11">
        <v>2.5844999999999998</v>
      </c>
    </row>
    <row r="27" spans="1:18" x14ac:dyDescent="0.4">
      <c r="A27" s="14">
        <v>2020</v>
      </c>
      <c r="B27" s="28" t="s">
        <v>84</v>
      </c>
    </row>
    <row r="28" spans="1:18" ht="47.15" x14ac:dyDescent="0.4">
      <c r="A28" s="2" t="s">
        <v>75</v>
      </c>
      <c r="B28" s="22" t="s">
        <v>33</v>
      </c>
      <c r="C28" s="23" t="s">
        <v>36</v>
      </c>
      <c r="D28" s="23" t="s">
        <v>39</v>
      </c>
      <c r="E28" s="23" t="s">
        <v>40</v>
      </c>
      <c r="F28" s="23" t="s">
        <v>41</v>
      </c>
      <c r="G28" s="23" t="s">
        <v>42</v>
      </c>
      <c r="H28" s="23" t="s">
        <v>43</v>
      </c>
      <c r="I28" s="23" t="s">
        <v>44</v>
      </c>
      <c r="J28" s="23" t="s">
        <v>45</v>
      </c>
      <c r="K28" s="23" t="s">
        <v>46</v>
      </c>
      <c r="L28" s="23" t="s">
        <v>49</v>
      </c>
      <c r="M28" s="23" t="s">
        <v>51</v>
      </c>
      <c r="N28" s="23" t="s">
        <v>61</v>
      </c>
      <c r="O28" s="23" t="s">
        <v>64</v>
      </c>
      <c r="P28" s="23" t="s">
        <v>65</v>
      </c>
      <c r="Q28" s="23" t="s">
        <v>66</v>
      </c>
      <c r="R28" s="23" t="s">
        <v>67</v>
      </c>
    </row>
    <row r="29" spans="1:18" x14ac:dyDescent="0.4">
      <c r="A29" s="6" t="s">
        <v>11</v>
      </c>
      <c r="B29" s="11">
        <v>349488.397</v>
      </c>
      <c r="C29" s="11">
        <v>88543.534</v>
      </c>
      <c r="D29" s="11">
        <v>29520.292000000001</v>
      </c>
      <c r="E29" s="11">
        <v>97063.863500000007</v>
      </c>
      <c r="F29" s="11">
        <v>76616.265499999994</v>
      </c>
      <c r="G29" s="11">
        <v>25723.345000000001</v>
      </c>
      <c r="H29" s="11">
        <v>816.31799999999998</v>
      </c>
      <c r="I29" s="11">
        <v>957.95150000000001</v>
      </c>
      <c r="J29" s="11">
        <v>30246.827499999999</v>
      </c>
      <c r="K29" s="11">
        <v>33471.267999999996</v>
      </c>
      <c r="L29" s="11">
        <v>316017.12900000002</v>
      </c>
      <c r="M29" s="11">
        <v>78551.884999999995</v>
      </c>
      <c r="N29" s="11">
        <v>33046.788999999997</v>
      </c>
      <c r="O29" s="11">
        <v>259247.43049999999</v>
      </c>
      <c r="P29" s="11">
        <v>85384.280499999993</v>
      </c>
      <c r="Q29" s="11">
        <v>173863.15</v>
      </c>
      <c r="R29" s="11">
        <v>55877.594499999999</v>
      </c>
    </row>
    <row r="30" spans="1:18" x14ac:dyDescent="0.4">
      <c r="A30" s="6" t="s">
        <v>12</v>
      </c>
      <c r="B30" s="11">
        <v>351560.24900000001</v>
      </c>
      <c r="C30" s="11">
        <v>78774.184999999998</v>
      </c>
      <c r="D30" s="11">
        <v>29296.426500000001</v>
      </c>
      <c r="E30" s="11">
        <v>99183.407999999996</v>
      </c>
      <c r="F30" s="11">
        <v>83300.661999999997</v>
      </c>
      <c r="G30" s="11">
        <v>26684.719499999999</v>
      </c>
      <c r="H30" s="11">
        <v>785.15449999999998</v>
      </c>
      <c r="I30" s="11">
        <v>998.4325</v>
      </c>
      <c r="J30" s="11">
        <v>32537.260999999999</v>
      </c>
      <c r="K30" s="11">
        <v>36139.934000000001</v>
      </c>
      <c r="L30" s="11">
        <v>315420.315</v>
      </c>
      <c r="M30" s="11">
        <v>70577.572</v>
      </c>
      <c r="N30" s="11">
        <v>35165.173999999999</v>
      </c>
      <c r="O30" s="11">
        <v>265213.8775</v>
      </c>
      <c r="P30" s="11">
        <v>92476.686000000002</v>
      </c>
      <c r="Q30" s="11">
        <v>172737.19149999999</v>
      </c>
      <c r="R30" s="11">
        <v>49732.559500000003</v>
      </c>
    </row>
    <row r="31" spans="1:18" x14ac:dyDescent="0.4">
      <c r="A31" s="6" t="s">
        <v>13</v>
      </c>
      <c r="B31" s="11">
        <v>337363.69099999999</v>
      </c>
      <c r="C31" s="11">
        <v>69800.441000000006</v>
      </c>
      <c r="D31" s="11">
        <v>26229.223000000002</v>
      </c>
      <c r="E31" s="11">
        <v>99394.05</v>
      </c>
      <c r="F31" s="11">
        <v>80357.876000000004</v>
      </c>
      <c r="G31" s="11">
        <v>26903.525000000001</v>
      </c>
      <c r="H31" s="11">
        <v>734.72950000000003</v>
      </c>
      <c r="I31" s="11">
        <v>982.12149999999997</v>
      </c>
      <c r="J31" s="11">
        <v>32961.724999999999</v>
      </c>
      <c r="K31" s="11">
        <v>36704.604500000001</v>
      </c>
      <c r="L31" s="11">
        <v>300659.08649999998</v>
      </c>
      <c r="M31" s="11">
        <v>64232.133999999998</v>
      </c>
      <c r="N31" s="11">
        <v>36135.464500000002</v>
      </c>
      <c r="O31" s="11">
        <v>255468.67800000001</v>
      </c>
      <c r="P31" s="11">
        <v>88482.798999999999</v>
      </c>
      <c r="Q31" s="11">
        <v>166985.87899999999</v>
      </c>
      <c r="R31" s="11">
        <v>44280.540999999997</v>
      </c>
    </row>
    <row r="32" spans="1:18" x14ac:dyDescent="0.4">
      <c r="A32" s="6" t="s">
        <v>14</v>
      </c>
      <c r="B32" s="11">
        <v>319816.71899999998</v>
      </c>
      <c r="C32" s="11">
        <v>59629.389499999997</v>
      </c>
      <c r="D32" s="11">
        <v>23468.199000000001</v>
      </c>
      <c r="E32" s="11">
        <v>99448.089000000007</v>
      </c>
      <c r="F32" s="11">
        <v>76508.964500000002</v>
      </c>
      <c r="G32" s="11">
        <v>27203.4575</v>
      </c>
      <c r="H32" s="11">
        <v>678.18949999999995</v>
      </c>
      <c r="I32" s="11">
        <v>926.74099999999999</v>
      </c>
      <c r="J32" s="11">
        <v>31953.688999999998</v>
      </c>
      <c r="K32" s="11">
        <v>35799.974499999997</v>
      </c>
      <c r="L32" s="11">
        <v>284016.74449999997</v>
      </c>
      <c r="M32" s="11">
        <v>57528.430500000002</v>
      </c>
      <c r="N32" s="11">
        <v>35856.718500000003</v>
      </c>
      <c r="O32" s="11">
        <v>244306.31599999999</v>
      </c>
      <c r="P32" s="11">
        <v>84086.087</v>
      </c>
      <c r="Q32" s="11">
        <v>160220.22899999999</v>
      </c>
      <c r="R32" s="11">
        <v>38298.950499999999</v>
      </c>
    </row>
    <row r="33" spans="1:18" x14ac:dyDescent="0.4">
      <c r="A33" s="6" t="s">
        <v>15</v>
      </c>
      <c r="B33" s="11">
        <v>308351.68349999998</v>
      </c>
      <c r="C33" s="11">
        <v>50181.953999999998</v>
      </c>
      <c r="D33" s="11">
        <v>22805.067500000001</v>
      </c>
      <c r="E33" s="11">
        <v>94805.547999999995</v>
      </c>
      <c r="F33" s="11">
        <v>78656.745999999999</v>
      </c>
      <c r="G33" s="11">
        <v>27299.047500000001</v>
      </c>
      <c r="H33" s="11">
        <v>617.46950000000004</v>
      </c>
      <c r="I33" s="11">
        <v>1055.9804999999999</v>
      </c>
      <c r="J33" s="11">
        <v>32929.870499999997</v>
      </c>
      <c r="K33" s="11">
        <v>37071.4205</v>
      </c>
      <c r="L33" s="11">
        <v>271280.26299999998</v>
      </c>
      <c r="M33" s="11">
        <v>49828.964500000002</v>
      </c>
      <c r="N33" s="11">
        <v>38546.258000000002</v>
      </c>
      <c r="O33" s="11">
        <v>236141.89850000001</v>
      </c>
      <c r="P33" s="11">
        <v>86076.312000000005</v>
      </c>
      <c r="Q33" s="11">
        <v>150065.5865</v>
      </c>
      <c r="R33" s="11">
        <v>32547.93</v>
      </c>
    </row>
    <row r="34" spans="1:18" x14ac:dyDescent="0.4">
      <c r="A34" s="6" t="s">
        <v>16</v>
      </c>
      <c r="B34" s="11">
        <v>306985.14799999999</v>
      </c>
      <c r="C34" s="11">
        <v>42643.589500000002</v>
      </c>
      <c r="D34" s="11">
        <v>23036.146000000001</v>
      </c>
      <c r="E34" s="11">
        <v>89678.273499999996</v>
      </c>
      <c r="F34" s="11">
        <v>87087.330499999996</v>
      </c>
      <c r="G34" s="11">
        <v>26583.145</v>
      </c>
      <c r="H34" s="11">
        <v>564.21950000000004</v>
      </c>
      <c r="I34" s="11">
        <v>1170.7474999999999</v>
      </c>
      <c r="J34" s="11">
        <v>36221.696499999998</v>
      </c>
      <c r="K34" s="11">
        <v>40515.171499999997</v>
      </c>
      <c r="L34" s="11">
        <v>266469.97649999999</v>
      </c>
      <c r="M34" s="11">
        <v>42664.046000000002</v>
      </c>
      <c r="N34" s="11">
        <v>41784.941500000001</v>
      </c>
      <c r="O34" s="11">
        <v>236993.82399999999</v>
      </c>
      <c r="P34" s="11">
        <v>95465.892000000007</v>
      </c>
      <c r="Q34" s="11">
        <v>141527.932</v>
      </c>
      <c r="R34" s="11">
        <v>27194.354500000001</v>
      </c>
    </row>
    <row r="35" spans="1:18" x14ac:dyDescent="0.4">
      <c r="A35" s="6" t="s">
        <v>17</v>
      </c>
      <c r="B35" s="11">
        <v>307163.72249999997</v>
      </c>
      <c r="C35" s="11">
        <v>36545.806499999999</v>
      </c>
      <c r="D35" s="11">
        <v>22795.878000000001</v>
      </c>
      <c r="E35" s="11">
        <v>83804.106499999994</v>
      </c>
      <c r="F35" s="11">
        <v>97436.751499999998</v>
      </c>
      <c r="G35" s="11">
        <v>25509.622500000001</v>
      </c>
      <c r="H35" s="11">
        <v>501.959</v>
      </c>
      <c r="I35" s="11">
        <v>1139.8779999999999</v>
      </c>
      <c r="J35" s="11">
        <v>39429.720500000003</v>
      </c>
      <c r="K35" s="11">
        <v>43896.425999999999</v>
      </c>
      <c r="L35" s="11">
        <v>263267.2965</v>
      </c>
      <c r="M35" s="11">
        <v>36428.455000000002</v>
      </c>
      <c r="N35" s="11">
        <v>43294.983999999997</v>
      </c>
      <c r="O35" s="11">
        <v>240249.12700000001</v>
      </c>
      <c r="P35" s="11">
        <v>107784.2355</v>
      </c>
      <c r="Q35" s="11">
        <v>132464.8915</v>
      </c>
      <c r="R35" s="11">
        <v>22617.656999999999</v>
      </c>
    </row>
    <row r="36" spans="1:18" x14ac:dyDescent="0.4">
      <c r="A36" s="6" t="s">
        <v>18</v>
      </c>
      <c r="B36" s="11">
        <v>279421.7905</v>
      </c>
      <c r="C36" s="11">
        <v>30722.446499999998</v>
      </c>
      <c r="D36" s="11">
        <v>21515.063999999998</v>
      </c>
      <c r="E36" s="11">
        <v>75201.040500000003</v>
      </c>
      <c r="F36" s="11">
        <v>87387.358999999997</v>
      </c>
      <c r="G36" s="11">
        <v>23957.389500000001</v>
      </c>
      <c r="H36" s="11">
        <v>436.16950000000003</v>
      </c>
      <c r="I36" s="11">
        <v>1076.6704999999999</v>
      </c>
      <c r="J36" s="11">
        <v>39125.650999999998</v>
      </c>
      <c r="K36" s="11">
        <v>43845.947500000002</v>
      </c>
      <c r="L36" s="11">
        <v>235575.84299999999</v>
      </c>
      <c r="M36" s="11">
        <v>30662.93</v>
      </c>
      <c r="N36" s="11">
        <v>44179.866999999998</v>
      </c>
      <c r="O36" s="11">
        <v>215777.32800000001</v>
      </c>
      <c r="P36" s="11">
        <v>95012.482000000004</v>
      </c>
      <c r="Q36" s="11">
        <v>120764.84600000001</v>
      </c>
      <c r="R36" s="11">
        <v>18500.835500000001</v>
      </c>
    </row>
    <row r="37" spans="1:18" x14ac:dyDescent="0.4">
      <c r="A37" s="6" t="s">
        <v>19</v>
      </c>
      <c r="B37" s="11">
        <v>248929.27849999999</v>
      </c>
      <c r="C37" s="11">
        <v>24780.263500000001</v>
      </c>
      <c r="D37" s="11">
        <v>18892.182000000001</v>
      </c>
      <c r="E37" s="11">
        <v>64849.911</v>
      </c>
      <c r="F37" s="11">
        <v>79554.810500000007</v>
      </c>
      <c r="G37" s="11">
        <v>21781.200499999999</v>
      </c>
      <c r="H37" s="11">
        <v>379.66550000000001</v>
      </c>
      <c r="I37" s="11">
        <v>960.86</v>
      </c>
      <c r="J37" s="11">
        <v>37730.385499999997</v>
      </c>
      <c r="K37" s="11">
        <v>42946.863499999999</v>
      </c>
      <c r="L37" s="11">
        <v>205982.41500000001</v>
      </c>
      <c r="M37" s="11">
        <v>25064.580999999998</v>
      </c>
      <c r="N37" s="11">
        <v>43899.517500000002</v>
      </c>
      <c r="O37" s="11">
        <v>189174.144</v>
      </c>
      <c r="P37" s="11">
        <v>84341.3</v>
      </c>
      <c r="Q37" s="11">
        <v>104832.844</v>
      </c>
      <c r="R37" s="11">
        <v>14930.6145</v>
      </c>
    </row>
    <row r="38" spans="1:18" x14ac:dyDescent="0.4">
      <c r="A38" s="6" t="s">
        <v>20</v>
      </c>
      <c r="B38" s="11">
        <v>240137.30499999999</v>
      </c>
      <c r="C38" s="11">
        <v>19633.262999999999</v>
      </c>
      <c r="D38" s="11">
        <v>15750.654</v>
      </c>
      <c r="E38" s="11">
        <v>56815.083500000001</v>
      </c>
      <c r="F38" s="11">
        <v>89874.982499999998</v>
      </c>
      <c r="G38" s="11">
        <v>19462.5995</v>
      </c>
      <c r="H38" s="11">
        <v>328.65449999999998</v>
      </c>
      <c r="I38" s="11">
        <v>985.16949999999997</v>
      </c>
      <c r="J38" s="11">
        <v>37286.898500000003</v>
      </c>
      <c r="K38" s="11">
        <v>43162.709000000003</v>
      </c>
      <c r="L38" s="11">
        <v>196974.59599999999</v>
      </c>
      <c r="M38" s="11">
        <v>20676.705000000002</v>
      </c>
      <c r="N38" s="11">
        <v>43925.387499999997</v>
      </c>
      <c r="O38" s="11">
        <v>183177.21549999999</v>
      </c>
      <c r="P38" s="11">
        <v>92175.173500000004</v>
      </c>
      <c r="Q38" s="11">
        <v>91002.042000000001</v>
      </c>
      <c r="R38" s="11">
        <v>12188.63</v>
      </c>
    </row>
    <row r="39" spans="1:18" x14ac:dyDescent="0.4">
      <c r="A39" s="6" t="s">
        <v>21</v>
      </c>
      <c r="B39" s="11">
        <v>221073.24900000001</v>
      </c>
      <c r="C39" s="11">
        <v>15618.747499999999</v>
      </c>
      <c r="D39" s="11">
        <v>13067.557000000001</v>
      </c>
      <c r="E39" s="11">
        <v>48966.306499999999</v>
      </c>
      <c r="F39" s="11">
        <v>87654.673999999999</v>
      </c>
      <c r="G39" s="11">
        <v>17375.945</v>
      </c>
      <c r="H39" s="11">
        <v>283.024</v>
      </c>
      <c r="I39" s="11">
        <v>924.44550000000004</v>
      </c>
      <c r="J39" s="11">
        <v>37182.549500000001</v>
      </c>
      <c r="K39" s="11">
        <v>42388.906999999999</v>
      </c>
      <c r="L39" s="11">
        <v>178684.342</v>
      </c>
      <c r="M39" s="11">
        <v>16839.909500000002</v>
      </c>
      <c r="N39" s="11">
        <v>42970.0605</v>
      </c>
      <c r="O39" s="11">
        <v>167508.98300000001</v>
      </c>
      <c r="P39" s="11">
        <v>89830.592499999999</v>
      </c>
      <c r="Q39" s="11">
        <v>77678.390499999994</v>
      </c>
      <c r="R39" s="11">
        <v>9819.51</v>
      </c>
    </row>
    <row r="40" spans="1:18" x14ac:dyDescent="0.4">
      <c r="A40" s="6" t="s">
        <v>22</v>
      </c>
      <c r="B40" s="11">
        <v>190547.42300000001</v>
      </c>
      <c r="C40" s="11">
        <v>11953.343000000001</v>
      </c>
      <c r="D40" s="11">
        <v>10311.512500000001</v>
      </c>
      <c r="E40" s="11">
        <v>41691.760499999997</v>
      </c>
      <c r="F40" s="11">
        <v>72879.620500000005</v>
      </c>
      <c r="G40" s="11">
        <v>15269.998</v>
      </c>
      <c r="H40" s="11">
        <v>234.54050000000001</v>
      </c>
      <c r="I40" s="11">
        <v>913.74950000000001</v>
      </c>
      <c r="J40" s="11">
        <v>37292.898500000003</v>
      </c>
      <c r="K40" s="11">
        <v>42129.89</v>
      </c>
      <c r="L40" s="11">
        <v>148417.533</v>
      </c>
      <c r="M40" s="11">
        <v>13271.220499999999</v>
      </c>
      <c r="N40" s="11">
        <v>41243.802499999998</v>
      </c>
      <c r="O40" s="11">
        <v>141079.174</v>
      </c>
      <c r="P40" s="11">
        <v>75553.172999999995</v>
      </c>
      <c r="Q40" s="11">
        <v>65526.000999999997</v>
      </c>
      <c r="R40" s="11">
        <v>7545.8885</v>
      </c>
    </row>
    <row r="41" spans="1:18" x14ac:dyDescent="0.4">
      <c r="A41" s="6" t="s">
        <v>23</v>
      </c>
      <c r="B41" s="11">
        <v>154990.17199999999</v>
      </c>
      <c r="C41" s="11">
        <v>8826.8435000000009</v>
      </c>
      <c r="D41" s="11">
        <v>7619.7740000000003</v>
      </c>
      <c r="E41" s="11">
        <v>33874.36</v>
      </c>
      <c r="F41" s="11">
        <v>56975.232000000004</v>
      </c>
      <c r="G41" s="11">
        <v>12405.486000000001</v>
      </c>
      <c r="H41" s="11">
        <v>170.3115</v>
      </c>
      <c r="I41" s="11">
        <v>830.76</v>
      </c>
      <c r="J41" s="11">
        <v>34287.404999999999</v>
      </c>
      <c r="K41" s="11">
        <v>38761.108</v>
      </c>
      <c r="L41" s="11">
        <v>116229.064</v>
      </c>
      <c r="M41" s="11">
        <v>10301.126</v>
      </c>
      <c r="N41" s="11">
        <v>37210.171999999999</v>
      </c>
      <c r="O41" s="11">
        <v>111446.321</v>
      </c>
      <c r="P41" s="11">
        <v>58856.0605</v>
      </c>
      <c r="Q41" s="11">
        <v>52590.260499999997</v>
      </c>
      <c r="R41" s="11">
        <v>5774.7934999999998</v>
      </c>
    </row>
    <row r="42" spans="1:18" x14ac:dyDescent="0.4">
      <c r="A42" s="6" t="s">
        <v>24</v>
      </c>
      <c r="B42" s="11">
        <v>126676.0515</v>
      </c>
      <c r="C42" s="11">
        <v>6373.6644999999999</v>
      </c>
      <c r="D42" s="11">
        <v>5389.6514999999999</v>
      </c>
      <c r="E42" s="11">
        <v>25702.051500000001</v>
      </c>
      <c r="F42" s="11">
        <v>49943.6875</v>
      </c>
      <c r="G42" s="11">
        <v>9561.8979999999992</v>
      </c>
      <c r="H42" s="11">
        <v>111.324</v>
      </c>
      <c r="I42" s="11">
        <v>722.91099999999994</v>
      </c>
      <c r="J42" s="11">
        <v>28870.863499999999</v>
      </c>
      <c r="K42" s="11">
        <v>33543.368499999997</v>
      </c>
      <c r="L42" s="11">
        <v>93132.683000000005</v>
      </c>
      <c r="M42" s="11">
        <v>7521.049</v>
      </c>
      <c r="N42" s="11">
        <v>32066.532999999999</v>
      </c>
      <c r="O42" s="11">
        <v>90142.808999999994</v>
      </c>
      <c r="P42" s="11">
        <v>51163.538999999997</v>
      </c>
      <c r="Q42" s="11">
        <v>38979.269999999997</v>
      </c>
      <c r="R42" s="11">
        <v>4065.038</v>
      </c>
    </row>
    <row r="43" spans="1:18" x14ac:dyDescent="0.4">
      <c r="A43" s="6" t="s">
        <v>25</v>
      </c>
      <c r="B43" s="11">
        <v>88188.063999999998</v>
      </c>
      <c r="C43" s="11">
        <v>4262.9589999999998</v>
      </c>
      <c r="D43" s="11">
        <v>3503.0819999999999</v>
      </c>
      <c r="E43" s="11">
        <v>16336.6585</v>
      </c>
      <c r="F43" s="11">
        <v>33772.097500000003</v>
      </c>
      <c r="G43" s="11">
        <v>6784.5775000000003</v>
      </c>
      <c r="H43" s="11">
        <v>71.343000000000004</v>
      </c>
      <c r="I43" s="11">
        <v>637.61300000000006</v>
      </c>
      <c r="J43" s="11">
        <v>22819.733499999998</v>
      </c>
      <c r="K43" s="11">
        <v>27878.637999999999</v>
      </c>
      <c r="L43" s="11">
        <v>60309.425999999999</v>
      </c>
      <c r="M43" s="11">
        <v>4894.4544999999998</v>
      </c>
      <c r="N43" s="11">
        <v>26926.034</v>
      </c>
      <c r="O43" s="11">
        <v>58199.6325</v>
      </c>
      <c r="P43" s="11">
        <v>33392.834999999999</v>
      </c>
      <c r="Q43" s="11">
        <v>24806.797500000001</v>
      </c>
      <c r="R43" s="11">
        <v>2787.4755</v>
      </c>
    </row>
    <row r="44" spans="1:18" x14ac:dyDescent="0.4">
      <c r="A44" s="6" t="s">
        <v>26</v>
      </c>
      <c r="B44" s="11">
        <v>55412.777000000002</v>
      </c>
      <c r="C44" s="11">
        <v>2495.4124999999999</v>
      </c>
      <c r="D44" s="11">
        <v>2001.3315</v>
      </c>
      <c r="E44" s="11">
        <v>9661.3080000000009</v>
      </c>
      <c r="F44" s="11">
        <v>21117.524000000001</v>
      </c>
      <c r="G44" s="11">
        <v>4514.7129999999997</v>
      </c>
      <c r="H44" s="11">
        <v>39.344999999999999</v>
      </c>
      <c r="I44" s="11">
        <v>438.37650000000002</v>
      </c>
      <c r="J44" s="11">
        <v>15144.7665</v>
      </c>
      <c r="K44" s="11">
        <v>18859.516</v>
      </c>
      <c r="L44" s="11">
        <v>36553.260999999999</v>
      </c>
      <c r="M44" s="11">
        <v>2916.0464999999999</v>
      </c>
      <c r="N44" s="11">
        <v>18887.7425</v>
      </c>
      <c r="O44" s="11">
        <v>34708.125999999997</v>
      </c>
      <c r="P44" s="11">
        <v>20097.4215</v>
      </c>
      <c r="Q44" s="11">
        <v>14610.7045</v>
      </c>
      <c r="R44" s="11">
        <v>1634.1030000000001</v>
      </c>
    </row>
    <row r="45" spans="1:18" x14ac:dyDescent="0.4">
      <c r="A45" s="6" t="s">
        <v>27</v>
      </c>
      <c r="B45" s="11">
        <v>34587.608999999997</v>
      </c>
      <c r="C45" s="11">
        <v>1171.3385000000001</v>
      </c>
      <c r="D45" s="11">
        <v>1118.3395</v>
      </c>
      <c r="E45" s="11">
        <v>5288.4094999999998</v>
      </c>
      <c r="F45" s="11">
        <v>13029.617</v>
      </c>
      <c r="G45" s="11">
        <v>2653.5974999999999</v>
      </c>
      <c r="H45" s="11">
        <v>18.788</v>
      </c>
      <c r="I45" s="11">
        <v>283.02699999999999</v>
      </c>
      <c r="J45" s="11">
        <v>11024.492</v>
      </c>
      <c r="K45" s="11">
        <v>13662.251</v>
      </c>
      <c r="L45" s="11">
        <v>20925.358</v>
      </c>
      <c r="M45" s="11">
        <v>1399.713</v>
      </c>
      <c r="N45" s="11">
        <v>13187.9995</v>
      </c>
      <c r="O45" s="11">
        <v>20554.602999999999</v>
      </c>
      <c r="P45" s="11">
        <v>12575.012500000001</v>
      </c>
      <c r="Q45" s="11">
        <v>7979.5905000000002</v>
      </c>
      <c r="R45" s="11">
        <v>749.61400000000003</v>
      </c>
    </row>
    <row r="46" spans="1:18" x14ac:dyDescent="0.4">
      <c r="A46" s="6" t="s">
        <v>28</v>
      </c>
      <c r="B46" s="11">
        <v>16353.919</v>
      </c>
      <c r="C46" s="11">
        <v>412.12349999999998</v>
      </c>
      <c r="D46" s="11">
        <v>431.83749999999998</v>
      </c>
      <c r="E46" s="11">
        <v>2221.3274999999999</v>
      </c>
      <c r="F46" s="11">
        <v>6163.3280000000004</v>
      </c>
      <c r="G46" s="11">
        <v>1171.5435</v>
      </c>
      <c r="H46" s="11">
        <v>6.9740000000000002</v>
      </c>
      <c r="I46" s="11">
        <v>155.93600000000001</v>
      </c>
      <c r="J46" s="11">
        <v>5790.8490000000002</v>
      </c>
      <c r="K46" s="11">
        <v>7358.2169999999996</v>
      </c>
      <c r="L46" s="11">
        <v>8995.7019999999993</v>
      </c>
      <c r="M46" s="11">
        <v>492.28500000000003</v>
      </c>
      <c r="N46" s="11">
        <v>7311.0050000000001</v>
      </c>
      <c r="O46" s="11">
        <v>8776.4210000000003</v>
      </c>
      <c r="P46" s="11">
        <v>5538.3244999999997</v>
      </c>
      <c r="Q46" s="11">
        <v>3238.0965000000001</v>
      </c>
      <c r="R46" s="11">
        <v>235.512</v>
      </c>
    </row>
    <row r="47" spans="1:18" x14ac:dyDescent="0.4">
      <c r="A47" s="6" t="s">
        <v>29</v>
      </c>
      <c r="B47" s="11">
        <v>5448.2314999999999</v>
      </c>
      <c r="C47" s="11">
        <v>103.708</v>
      </c>
      <c r="D47" s="11">
        <v>105.82850000000001</v>
      </c>
      <c r="E47" s="11">
        <v>674.42949999999996</v>
      </c>
      <c r="F47" s="11">
        <v>1882.2245</v>
      </c>
      <c r="G47" s="11">
        <v>375.29149999999998</v>
      </c>
      <c r="H47" s="11">
        <v>1.9944999999999999</v>
      </c>
      <c r="I47" s="11">
        <v>68.135499999999993</v>
      </c>
      <c r="J47" s="11">
        <v>2236.6194999999998</v>
      </c>
      <c r="K47" s="11">
        <v>2900.0394999999999</v>
      </c>
      <c r="L47" s="11">
        <v>2548.192</v>
      </c>
      <c r="M47" s="11">
        <v>107.3595</v>
      </c>
      <c r="N47" s="11">
        <v>2864.674</v>
      </c>
      <c r="O47" s="11">
        <v>2533.7249999999999</v>
      </c>
      <c r="P47" s="11">
        <v>1598.27</v>
      </c>
      <c r="Q47" s="11">
        <v>935.45500000000004</v>
      </c>
      <c r="R47" s="11">
        <v>46.339500000000001</v>
      </c>
    </row>
    <row r="48" spans="1:18" x14ac:dyDescent="0.4">
      <c r="A48" s="6" t="s">
        <v>30</v>
      </c>
      <c r="B48" s="11">
        <v>1013.4924999999999</v>
      </c>
      <c r="C48" s="11">
        <v>19.471</v>
      </c>
      <c r="D48" s="11">
        <v>14.845499999999999</v>
      </c>
      <c r="E48" s="11">
        <v>125.8425</v>
      </c>
      <c r="F48" s="11">
        <v>307.08350000000002</v>
      </c>
      <c r="G48" s="11">
        <v>81.317499999999995</v>
      </c>
      <c r="H48" s="11">
        <v>0.39050000000000001</v>
      </c>
      <c r="I48" s="11">
        <v>15.0755</v>
      </c>
      <c r="J48" s="11">
        <v>449.4665</v>
      </c>
      <c r="K48" s="11">
        <v>598.22500000000002</v>
      </c>
      <c r="L48" s="11">
        <v>415.26749999999998</v>
      </c>
      <c r="M48" s="11">
        <v>12.41</v>
      </c>
      <c r="N48" s="11">
        <v>605.34649999999999</v>
      </c>
      <c r="O48" s="11">
        <v>402.9855</v>
      </c>
      <c r="P48" s="11">
        <v>235.99549999999999</v>
      </c>
      <c r="Q48" s="11">
        <v>166.99</v>
      </c>
      <c r="R48" s="11">
        <v>5.0685000000000002</v>
      </c>
    </row>
    <row r="49" spans="1:18" x14ac:dyDescent="0.4">
      <c r="A49" s="6" t="s">
        <v>31</v>
      </c>
      <c r="B49" s="11">
        <v>103.22</v>
      </c>
      <c r="C49" s="11">
        <v>3.2650000000000001</v>
      </c>
      <c r="D49" s="11">
        <v>1.3640000000000001</v>
      </c>
      <c r="E49" s="11">
        <v>15.6485</v>
      </c>
      <c r="F49" s="11">
        <v>27.7605</v>
      </c>
      <c r="G49" s="11">
        <v>9.6285000000000007</v>
      </c>
      <c r="H49" s="11">
        <v>4.4499999999999998E-2</v>
      </c>
      <c r="I49" s="11">
        <v>1.482</v>
      </c>
      <c r="J49" s="11">
        <v>44.027000000000001</v>
      </c>
      <c r="K49" s="11">
        <v>60.585999999999999</v>
      </c>
      <c r="L49" s="11">
        <v>42.634</v>
      </c>
      <c r="M49" s="11">
        <v>0.97299999999999998</v>
      </c>
      <c r="N49" s="11">
        <v>62.598500000000001</v>
      </c>
      <c r="O49" s="11">
        <v>40.091500000000003</v>
      </c>
      <c r="P49" s="11">
        <v>19.941500000000001</v>
      </c>
      <c r="Q49" s="11">
        <v>20.149999999999999</v>
      </c>
      <c r="R49" s="11">
        <v>0.51949999999999996</v>
      </c>
    </row>
    <row r="51" spans="1:18" x14ac:dyDescent="0.4">
      <c r="A51" s="14">
        <v>2020</v>
      </c>
      <c r="B51" s="29" t="s">
        <v>85</v>
      </c>
      <c r="C51" s="14"/>
    </row>
    <row r="52" spans="1:18" s="26" customFormat="1" ht="47.15" x14ac:dyDescent="0.4">
      <c r="A52" s="3" t="s">
        <v>75</v>
      </c>
      <c r="B52" s="22" t="s">
        <v>33</v>
      </c>
      <c r="C52" s="23" t="s">
        <v>36</v>
      </c>
      <c r="D52" s="23" t="s">
        <v>39</v>
      </c>
      <c r="E52" s="23" t="s">
        <v>40</v>
      </c>
      <c r="F52" s="23" t="s">
        <v>41</v>
      </c>
      <c r="G52" s="23" t="s">
        <v>42</v>
      </c>
      <c r="H52" s="23" t="s">
        <v>43</v>
      </c>
      <c r="I52" s="23" t="s">
        <v>44</v>
      </c>
      <c r="J52" s="23" t="s">
        <v>45</v>
      </c>
      <c r="K52" s="23" t="s">
        <v>46</v>
      </c>
      <c r="L52" s="23" t="s">
        <v>49</v>
      </c>
      <c r="M52" s="23" t="s">
        <v>51</v>
      </c>
      <c r="N52" s="23" t="s">
        <v>61</v>
      </c>
      <c r="O52" s="23" t="s">
        <v>64</v>
      </c>
      <c r="P52" s="23" t="s">
        <v>65</v>
      </c>
      <c r="Q52" s="23" t="s">
        <v>66</v>
      </c>
      <c r="R52" s="23" t="s">
        <v>67</v>
      </c>
    </row>
    <row r="53" spans="1:18" x14ac:dyDescent="0.4">
      <c r="A53" s="6" t="s">
        <v>11</v>
      </c>
      <c r="B53" s="11">
        <v>329657.80499999999</v>
      </c>
      <c r="C53" s="11">
        <v>86472.7215</v>
      </c>
      <c r="D53" s="11">
        <v>28138.873</v>
      </c>
      <c r="E53" s="11">
        <v>90507.5</v>
      </c>
      <c r="F53" s="11">
        <v>69373.992499999993</v>
      </c>
      <c r="G53" s="11">
        <v>24738.158500000001</v>
      </c>
      <c r="H53" s="11">
        <v>762.20550000000003</v>
      </c>
      <c r="I53" s="11">
        <v>906.346</v>
      </c>
      <c r="J53" s="11">
        <v>28758.008000000002</v>
      </c>
      <c r="K53" s="11">
        <v>31831.6875</v>
      </c>
      <c r="L53" s="11">
        <v>297826.11749999999</v>
      </c>
      <c r="M53" s="11">
        <v>76260.438500000004</v>
      </c>
      <c r="N53" s="11">
        <v>31446.723000000002</v>
      </c>
      <c r="O53" s="11">
        <v>242616.59349999999</v>
      </c>
      <c r="P53" s="11">
        <v>78316.66</v>
      </c>
      <c r="Q53" s="11">
        <v>164299.93350000001</v>
      </c>
      <c r="R53" s="11">
        <v>54348.050999999999</v>
      </c>
    </row>
    <row r="54" spans="1:18" x14ac:dyDescent="0.4">
      <c r="A54" s="6" t="s">
        <v>12</v>
      </c>
      <c r="B54" s="11">
        <v>329850.26049999997</v>
      </c>
      <c r="C54" s="11">
        <v>77235.979000000007</v>
      </c>
      <c r="D54" s="11">
        <v>27900.032500000001</v>
      </c>
      <c r="E54" s="11">
        <v>91952.962499999994</v>
      </c>
      <c r="F54" s="11">
        <v>74504.254499999995</v>
      </c>
      <c r="G54" s="11">
        <v>25663.895</v>
      </c>
      <c r="H54" s="11">
        <v>729.28700000000003</v>
      </c>
      <c r="I54" s="11">
        <v>948.07100000000003</v>
      </c>
      <c r="J54" s="11">
        <v>30915.778999999999</v>
      </c>
      <c r="K54" s="11">
        <v>34350.803999999996</v>
      </c>
      <c r="L54" s="11">
        <v>295499.45649999997</v>
      </c>
      <c r="M54" s="11">
        <v>68812.153999999995</v>
      </c>
      <c r="N54" s="11">
        <v>33424.315999999999</v>
      </c>
      <c r="O54" s="11">
        <v>246494.61900000001</v>
      </c>
      <c r="P54" s="11">
        <v>83826.6685</v>
      </c>
      <c r="Q54" s="11">
        <v>162667.95050000001</v>
      </c>
      <c r="R54" s="11">
        <v>48557.928</v>
      </c>
    </row>
    <row r="55" spans="1:18" x14ac:dyDescent="0.4">
      <c r="A55" s="6" t="s">
        <v>13</v>
      </c>
      <c r="B55" s="11">
        <v>315818.337</v>
      </c>
      <c r="C55" s="11">
        <v>68526.77</v>
      </c>
      <c r="D55" s="11">
        <v>25007.49</v>
      </c>
      <c r="E55" s="11">
        <v>91826.703500000003</v>
      </c>
      <c r="F55" s="11">
        <v>71601.698999999993</v>
      </c>
      <c r="G55" s="11">
        <v>25904.18</v>
      </c>
      <c r="H55" s="11">
        <v>677.4</v>
      </c>
      <c r="I55" s="11">
        <v>931.81399999999996</v>
      </c>
      <c r="J55" s="11">
        <v>31342.280500000001</v>
      </c>
      <c r="K55" s="11">
        <v>34912.118499999997</v>
      </c>
      <c r="L55" s="11">
        <v>280906.21850000002</v>
      </c>
      <c r="M55" s="11">
        <v>62842.806499999999</v>
      </c>
      <c r="N55" s="11">
        <v>34337.934999999998</v>
      </c>
      <c r="O55" s="11">
        <v>236716.73749999999</v>
      </c>
      <c r="P55" s="11">
        <v>79935.490000000005</v>
      </c>
      <c r="Q55" s="11">
        <v>156781.2475</v>
      </c>
      <c r="R55" s="11">
        <v>43357.173000000003</v>
      </c>
    </row>
    <row r="56" spans="1:18" x14ac:dyDescent="0.4">
      <c r="A56" s="6" t="s">
        <v>14</v>
      </c>
      <c r="B56" s="11">
        <v>299676.78850000002</v>
      </c>
      <c r="C56" s="11">
        <v>58719.8</v>
      </c>
      <c r="D56" s="11">
        <v>22455.806499999999</v>
      </c>
      <c r="E56" s="11">
        <v>91850.267000000007</v>
      </c>
      <c r="F56" s="11">
        <v>68481.798500000004</v>
      </c>
      <c r="G56" s="11">
        <v>26314.466499999999</v>
      </c>
      <c r="H56" s="11">
        <v>624.65250000000003</v>
      </c>
      <c r="I56" s="11">
        <v>881.322</v>
      </c>
      <c r="J56" s="11">
        <v>30348.675500000001</v>
      </c>
      <c r="K56" s="11">
        <v>34014.8655</v>
      </c>
      <c r="L56" s="11">
        <v>265661.92300000001</v>
      </c>
      <c r="M56" s="11">
        <v>56487.150999999998</v>
      </c>
      <c r="N56" s="11">
        <v>34006.427499999998</v>
      </c>
      <c r="O56" s="11">
        <v>226782.52650000001</v>
      </c>
      <c r="P56" s="11">
        <v>76291.938500000004</v>
      </c>
      <c r="Q56" s="11">
        <v>150490.58799999999</v>
      </c>
      <c r="R56" s="11">
        <v>37625.529499999997</v>
      </c>
    </row>
    <row r="57" spans="1:18" x14ac:dyDescent="0.4">
      <c r="A57" s="6" t="s">
        <v>15</v>
      </c>
      <c r="B57" s="11">
        <v>289690.82549999998</v>
      </c>
      <c r="C57" s="11">
        <v>49813.504500000003</v>
      </c>
      <c r="D57" s="11">
        <v>21273.916000000001</v>
      </c>
      <c r="E57" s="11">
        <v>87934.771999999997</v>
      </c>
      <c r="F57" s="11">
        <v>71120.474000000002</v>
      </c>
      <c r="G57" s="11">
        <v>26738.174999999999</v>
      </c>
      <c r="H57" s="11">
        <v>575.9615</v>
      </c>
      <c r="I57" s="11">
        <v>1003.285</v>
      </c>
      <c r="J57" s="11">
        <v>31230.737499999999</v>
      </c>
      <c r="K57" s="11">
        <v>35185.609499999999</v>
      </c>
      <c r="L57" s="11">
        <v>254505.21599999999</v>
      </c>
      <c r="M57" s="11">
        <v>49483.169500000004</v>
      </c>
      <c r="N57" s="11">
        <v>35851.771000000001</v>
      </c>
      <c r="O57" s="11">
        <v>220679.3695</v>
      </c>
      <c r="P57" s="11">
        <v>78974.355500000005</v>
      </c>
      <c r="Q57" s="11">
        <v>141705.014</v>
      </c>
      <c r="R57" s="11">
        <v>32127.434000000001</v>
      </c>
    </row>
    <row r="58" spans="1:18" x14ac:dyDescent="0.4">
      <c r="A58" s="6" t="s">
        <v>16</v>
      </c>
      <c r="B58" s="11">
        <v>291226.9705</v>
      </c>
      <c r="C58" s="11">
        <v>42879.4715</v>
      </c>
      <c r="D58" s="11">
        <v>21055.694</v>
      </c>
      <c r="E58" s="11">
        <v>84404.435500000007</v>
      </c>
      <c r="F58" s="11">
        <v>79933.697499999995</v>
      </c>
      <c r="G58" s="11">
        <v>26419.503499999999</v>
      </c>
      <c r="H58" s="11">
        <v>539.92899999999997</v>
      </c>
      <c r="I58" s="11">
        <v>1139.502</v>
      </c>
      <c r="J58" s="11">
        <v>34854.737500000003</v>
      </c>
      <c r="K58" s="11">
        <v>38965.811000000002</v>
      </c>
      <c r="L58" s="11">
        <v>252261.15950000001</v>
      </c>
      <c r="M58" s="11">
        <v>43164.851000000002</v>
      </c>
      <c r="N58" s="11">
        <v>38831.834999999999</v>
      </c>
      <c r="O58" s="11">
        <v>224390.745</v>
      </c>
      <c r="P58" s="11">
        <v>88994.395499999999</v>
      </c>
      <c r="Q58" s="11">
        <v>135396.34950000001</v>
      </c>
      <c r="R58" s="11">
        <v>27043.7955</v>
      </c>
    </row>
    <row r="59" spans="1:18" x14ac:dyDescent="0.4">
      <c r="A59" s="6" t="s">
        <v>17</v>
      </c>
      <c r="B59" s="11">
        <v>294489.245</v>
      </c>
      <c r="C59" s="11">
        <v>37100.214999999997</v>
      </c>
      <c r="D59" s="11">
        <v>20392.844499999999</v>
      </c>
      <c r="E59" s="11">
        <v>79883.305999999997</v>
      </c>
      <c r="F59" s="11">
        <v>91181.533500000005</v>
      </c>
      <c r="G59" s="11">
        <v>25692.771499999999</v>
      </c>
      <c r="H59" s="11">
        <v>496.34550000000002</v>
      </c>
      <c r="I59" s="11">
        <v>1162.1120000000001</v>
      </c>
      <c r="J59" s="11">
        <v>38580.116999999998</v>
      </c>
      <c r="K59" s="11">
        <v>42932.127999999997</v>
      </c>
      <c r="L59" s="11">
        <v>251557.117</v>
      </c>
      <c r="M59" s="11">
        <v>37471.582999999999</v>
      </c>
      <c r="N59" s="11">
        <v>40431.078000000001</v>
      </c>
      <c r="O59" s="11">
        <v>230415.516</v>
      </c>
      <c r="P59" s="11">
        <v>102322.7815</v>
      </c>
      <c r="Q59" s="11">
        <v>128092.73450000001</v>
      </c>
      <c r="R59" s="11">
        <v>22644.216499999999</v>
      </c>
    </row>
    <row r="60" spans="1:18" x14ac:dyDescent="0.4">
      <c r="A60" s="6" t="s">
        <v>18</v>
      </c>
      <c r="B60" s="11">
        <v>270283.15049999999</v>
      </c>
      <c r="C60" s="11">
        <v>31193.005000000001</v>
      </c>
      <c r="D60" s="11">
        <v>18796.0085</v>
      </c>
      <c r="E60" s="11">
        <v>72094.131500000003</v>
      </c>
      <c r="F60" s="11">
        <v>83365.946500000005</v>
      </c>
      <c r="G60" s="11">
        <v>24479.612499999999</v>
      </c>
      <c r="H60" s="11">
        <v>436.5675</v>
      </c>
      <c r="I60" s="11">
        <v>1093.7715000000001</v>
      </c>
      <c r="J60" s="11">
        <v>38824.107499999998</v>
      </c>
      <c r="K60" s="11">
        <v>43452.281000000003</v>
      </c>
      <c r="L60" s="11">
        <v>226830.8695</v>
      </c>
      <c r="M60" s="11">
        <v>31813.742999999999</v>
      </c>
      <c r="N60" s="11">
        <v>41425.000999999997</v>
      </c>
      <c r="O60" s="11">
        <v>209248.83549999999</v>
      </c>
      <c r="P60" s="11">
        <v>92139.1875</v>
      </c>
      <c r="Q60" s="11">
        <v>117109.648</v>
      </c>
      <c r="R60" s="11">
        <v>18620.297999999999</v>
      </c>
    </row>
    <row r="61" spans="1:18" x14ac:dyDescent="0.4">
      <c r="A61" s="6" t="s">
        <v>19</v>
      </c>
      <c r="B61" s="11">
        <v>242808.40650000001</v>
      </c>
      <c r="C61" s="11">
        <v>25136.1495</v>
      </c>
      <c r="D61" s="11">
        <v>16466.322499999998</v>
      </c>
      <c r="E61" s="11">
        <v>62532.976000000002</v>
      </c>
      <c r="F61" s="11">
        <v>76788.921000000002</v>
      </c>
      <c r="G61" s="11">
        <v>22551.048500000001</v>
      </c>
      <c r="H61" s="11">
        <v>374.01299999999998</v>
      </c>
      <c r="I61" s="11">
        <v>973.16399999999999</v>
      </c>
      <c r="J61" s="11">
        <v>37985.811999999998</v>
      </c>
      <c r="K61" s="11">
        <v>43093.7575</v>
      </c>
      <c r="L61" s="11">
        <v>199714.649</v>
      </c>
      <c r="M61" s="11">
        <v>26158.71</v>
      </c>
      <c r="N61" s="11">
        <v>41589.143499999998</v>
      </c>
      <c r="O61" s="11">
        <v>185028.82550000001</v>
      </c>
      <c r="P61" s="11">
        <v>83093.255000000005</v>
      </c>
      <c r="Q61" s="11">
        <v>101935.5705</v>
      </c>
      <c r="R61" s="11">
        <v>15227.4925</v>
      </c>
    </row>
    <row r="62" spans="1:18" x14ac:dyDescent="0.4">
      <c r="A62" s="6" t="s">
        <v>20</v>
      </c>
      <c r="B62" s="11">
        <v>237207.80499999999</v>
      </c>
      <c r="C62" s="11">
        <v>20231.1145</v>
      </c>
      <c r="D62" s="11">
        <v>13930.752500000001</v>
      </c>
      <c r="E62" s="11">
        <v>55309.582999999999</v>
      </c>
      <c r="F62" s="11">
        <v>88006.1495</v>
      </c>
      <c r="G62" s="11">
        <v>20451.064999999999</v>
      </c>
      <c r="H62" s="11">
        <v>318.01100000000002</v>
      </c>
      <c r="I62" s="11">
        <v>1015.6224999999999</v>
      </c>
      <c r="J62" s="11">
        <v>37945.506999999998</v>
      </c>
      <c r="K62" s="11">
        <v>43740.749000000003</v>
      </c>
      <c r="L62" s="11">
        <v>193467.05600000001</v>
      </c>
      <c r="M62" s="11">
        <v>21781.496999999999</v>
      </c>
      <c r="N62" s="11">
        <v>42241.553500000002</v>
      </c>
      <c r="O62" s="11">
        <v>181362.2635</v>
      </c>
      <c r="P62" s="11">
        <v>92055.051000000007</v>
      </c>
      <c r="Q62" s="11">
        <v>89307.212499999994</v>
      </c>
      <c r="R62" s="11">
        <v>12712.2875</v>
      </c>
    </row>
    <row r="63" spans="1:18" x14ac:dyDescent="0.4">
      <c r="A63" s="6" t="s">
        <v>21</v>
      </c>
      <c r="B63" s="11">
        <v>222219.758</v>
      </c>
      <c r="C63" s="11">
        <v>16703.3685</v>
      </c>
      <c r="D63" s="11">
        <v>11928.562</v>
      </c>
      <c r="E63" s="11">
        <v>47938.791499999999</v>
      </c>
      <c r="F63" s="11">
        <v>87532.879499999995</v>
      </c>
      <c r="G63" s="11">
        <v>18587.676500000001</v>
      </c>
      <c r="H63" s="11">
        <v>267.26499999999999</v>
      </c>
      <c r="I63" s="11">
        <v>967.62149999999997</v>
      </c>
      <c r="J63" s="11">
        <v>38293.593500000003</v>
      </c>
      <c r="K63" s="11">
        <v>43486.53</v>
      </c>
      <c r="L63" s="11">
        <v>178733.228</v>
      </c>
      <c r="M63" s="11">
        <v>17911.896000000001</v>
      </c>
      <c r="N63" s="11">
        <v>42067.690999999999</v>
      </c>
      <c r="O63" s="11">
        <v>168736.49950000001</v>
      </c>
      <c r="P63" s="11">
        <v>91540.131500000003</v>
      </c>
      <c r="Q63" s="11">
        <v>77196.368000000002</v>
      </c>
      <c r="R63" s="11">
        <v>10585.263000000001</v>
      </c>
    </row>
    <row r="64" spans="1:18" x14ac:dyDescent="0.4">
      <c r="A64" s="6" t="s">
        <v>22</v>
      </c>
      <c r="B64" s="11">
        <v>196591.97700000001</v>
      </c>
      <c r="C64" s="11">
        <v>13365.3505</v>
      </c>
      <c r="D64" s="11">
        <v>9913.6875</v>
      </c>
      <c r="E64" s="11">
        <v>41365.866000000002</v>
      </c>
      <c r="F64" s="11">
        <v>74275.692500000005</v>
      </c>
      <c r="G64" s="11">
        <v>16742.842000000001</v>
      </c>
      <c r="H64" s="11">
        <v>213.83</v>
      </c>
      <c r="I64" s="11">
        <v>953.00300000000004</v>
      </c>
      <c r="J64" s="11">
        <v>39761.705499999996</v>
      </c>
      <c r="K64" s="11">
        <v>44618.0245</v>
      </c>
      <c r="L64" s="11">
        <v>151973.95250000001</v>
      </c>
      <c r="M64" s="11">
        <v>14581.5085</v>
      </c>
      <c r="N64" s="11">
        <v>41569.953000000001</v>
      </c>
      <c r="O64" s="11">
        <v>145817.451</v>
      </c>
      <c r="P64" s="11">
        <v>79267.163</v>
      </c>
      <c r="Q64" s="11">
        <v>66550.288</v>
      </c>
      <c r="R64" s="11">
        <v>8458.8554999999997</v>
      </c>
    </row>
    <row r="65" spans="1:18" x14ac:dyDescent="0.4">
      <c r="A65" s="6" t="s">
        <v>23</v>
      </c>
      <c r="B65" s="11">
        <v>166125.1655</v>
      </c>
      <c r="C65" s="11">
        <v>10329.587</v>
      </c>
      <c r="D65" s="11">
        <v>7894.7629999999999</v>
      </c>
      <c r="E65" s="11">
        <v>34547.120999999999</v>
      </c>
      <c r="F65" s="11">
        <v>60022.794500000004</v>
      </c>
      <c r="G65" s="11">
        <v>14013.432000000001</v>
      </c>
      <c r="H65" s="11">
        <v>154.11699999999999</v>
      </c>
      <c r="I65" s="11">
        <v>876.42650000000003</v>
      </c>
      <c r="J65" s="11">
        <v>38286.924500000001</v>
      </c>
      <c r="K65" s="11">
        <v>42864.921000000002</v>
      </c>
      <c r="L65" s="11">
        <v>123260.2445</v>
      </c>
      <c r="M65" s="11">
        <v>11754.029500000001</v>
      </c>
      <c r="N65" s="11">
        <v>38853.229500000001</v>
      </c>
      <c r="O65" s="11">
        <v>119952.40549999999</v>
      </c>
      <c r="P65" s="11">
        <v>64735.997000000003</v>
      </c>
      <c r="Q65" s="11">
        <v>55216.408499999998</v>
      </c>
      <c r="R65" s="11">
        <v>6678.66</v>
      </c>
    </row>
    <row r="66" spans="1:18" x14ac:dyDescent="0.4">
      <c r="A66" s="6" t="s">
        <v>24</v>
      </c>
      <c r="B66" s="11">
        <v>142507.921</v>
      </c>
      <c r="C66" s="11">
        <v>7719.26</v>
      </c>
      <c r="D66" s="11">
        <v>6149.6279999999997</v>
      </c>
      <c r="E66" s="11">
        <v>26724.387500000001</v>
      </c>
      <c r="F66" s="11">
        <v>55589.99</v>
      </c>
      <c r="G66" s="11">
        <v>11193.782499999999</v>
      </c>
      <c r="H66" s="11">
        <v>104.96899999999999</v>
      </c>
      <c r="I66" s="11">
        <v>767.91150000000005</v>
      </c>
      <c r="J66" s="11">
        <v>34257.9925</v>
      </c>
      <c r="K66" s="11">
        <v>39197.952499999999</v>
      </c>
      <c r="L66" s="11">
        <v>103309.9685</v>
      </c>
      <c r="M66" s="11">
        <v>8790.1674999999996</v>
      </c>
      <c r="N66" s="11">
        <v>35173.578000000001</v>
      </c>
      <c r="O66" s="11">
        <v>101984.06</v>
      </c>
      <c r="P66" s="11">
        <v>59734.804499999998</v>
      </c>
      <c r="Q66" s="11">
        <v>42249.255499999999</v>
      </c>
      <c r="R66" s="11">
        <v>4858.9174999999996</v>
      </c>
    </row>
    <row r="67" spans="1:18" x14ac:dyDescent="0.4">
      <c r="A67" s="6" t="s">
        <v>25</v>
      </c>
      <c r="B67" s="11">
        <v>104266.686</v>
      </c>
      <c r="C67" s="11">
        <v>5329.1940000000004</v>
      </c>
      <c r="D67" s="11">
        <v>4304.6705000000002</v>
      </c>
      <c r="E67" s="11">
        <v>17899.034500000002</v>
      </c>
      <c r="F67" s="11">
        <v>39153.608</v>
      </c>
      <c r="G67" s="11">
        <v>8298.6319999999996</v>
      </c>
      <c r="H67" s="11">
        <v>69.774000000000001</v>
      </c>
      <c r="I67" s="11">
        <v>668.07899999999995</v>
      </c>
      <c r="J67" s="11">
        <v>28543.694</v>
      </c>
      <c r="K67" s="11">
        <v>34101.464999999997</v>
      </c>
      <c r="L67" s="11">
        <v>70165.221000000005</v>
      </c>
      <c r="M67" s="11">
        <v>5892.9494999999997</v>
      </c>
      <c r="N67" s="11">
        <v>30974.401999999998</v>
      </c>
      <c r="O67" s="11">
        <v>69435.970499999996</v>
      </c>
      <c r="P67" s="11">
        <v>40742.803999999996</v>
      </c>
      <c r="Q67" s="11">
        <v>28693.166499999999</v>
      </c>
      <c r="R67" s="11">
        <v>3503.6109999999999</v>
      </c>
    </row>
    <row r="68" spans="1:18" x14ac:dyDescent="0.4">
      <c r="A68" s="6" t="s">
        <v>26</v>
      </c>
      <c r="B68" s="11">
        <v>70671.570999999996</v>
      </c>
      <c r="C68" s="11">
        <v>3305.9650000000001</v>
      </c>
      <c r="D68" s="11">
        <v>2719.1464999999998</v>
      </c>
      <c r="E68" s="11">
        <v>11442.986999999999</v>
      </c>
      <c r="F68" s="11">
        <v>26482.976500000001</v>
      </c>
      <c r="G68" s="11">
        <v>5839.9165000000003</v>
      </c>
      <c r="H68" s="11">
        <v>42.2485</v>
      </c>
      <c r="I68" s="11">
        <v>478.34100000000001</v>
      </c>
      <c r="J68" s="11">
        <v>20359.990000000002</v>
      </c>
      <c r="K68" s="11">
        <v>24833.797500000001</v>
      </c>
      <c r="L68" s="11">
        <v>45837.773500000003</v>
      </c>
      <c r="M68" s="11">
        <v>3655.9854999999998</v>
      </c>
      <c r="N68" s="11">
        <v>23427.012999999999</v>
      </c>
      <c r="O68" s="11">
        <v>44769.104500000001</v>
      </c>
      <c r="P68" s="11">
        <v>26175.013999999999</v>
      </c>
      <c r="Q68" s="11">
        <v>18594.090499999998</v>
      </c>
      <c r="R68" s="11">
        <v>2224.614</v>
      </c>
    </row>
    <row r="69" spans="1:18" x14ac:dyDescent="0.4">
      <c r="A69" s="6" t="s">
        <v>27</v>
      </c>
      <c r="B69" s="11">
        <v>50471.463000000003</v>
      </c>
      <c r="C69" s="11">
        <v>1716.4590000000001</v>
      </c>
      <c r="D69" s="11">
        <v>1729.4815000000001</v>
      </c>
      <c r="E69" s="11">
        <v>6948.4260000000004</v>
      </c>
      <c r="F69" s="11">
        <v>18511.560000000001</v>
      </c>
      <c r="G69" s="11">
        <v>3842.1280000000002</v>
      </c>
      <c r="H69" s="11">
        <v>22.378</v>
      </c>
      <c r="I69" s="11">
        <v>340.28750000000002</v>
      </c>
      <c r="J69" s="11">
        <v>17360.742999999999</v>
      </c>
      <c r="K69" s="11">
        <v>20929.868999999999</v>
      </c>
      <c r="L69" s="11">
        <v>29541.594000000001</v>
      </c>
      <c r="M69" s="11">
        <v>1910.6714999999999</v>
      </c>
      <c r="N69" s="11">
        <v>18426.182000000001</v>
      </c>
      <c r="O69" s="11">
        <v>30713.573499999999</v>
      </c>
      <c r="P69" s="11">
        <v>19183.6185</v>
      </c>
      <c r="Q69" s="11">
        <v>11529.955</v>
      </c>
      <c r="R69" s="11">
        <v>1179.4485</v>
      </c>
    </row>
    <row r="70" spans="1:18" x14ac:dyDescent="0.4">
      <c r="A70" s="6" t="s">
        <v>28</v>
      </c>
      <c r="B70" s="11">
        <v>28294.725999999999</v>
      </c>
      <c r="C70" s="11">
        <v>706.649</v>
      </c>
      <c r="D70" s="11">
        <v>808.39049999999997</v>
      </c>
      <c r="E70" s="11">
        <v>3145.4920000000002</v>
      </c>
      <c r="F70" s="11">
        <v>10937.645</v>
      </c>
      <c r="G70" s="11">
        <v>2024.163</v>
      </c>
      <c r="H70" s="11">
        <v>9.1289999999999996</v>
      </c>
      <c r="I70" s="11">
        <v>219.09649999999999</v>
      </c>
      <c r="J70" s="11">
        <v>10444.161</v>
      </c>
      <c r="K70" s="11">
        <v>13154.9265</v>
      </c>
      <c r="L70" s="11">
        <v>15139.799499999999</v>
      </c>
      <c r="M70" s="11">
        <v>757.83150000000001</v>
      </c>
      <c r="N70" s="11">
        <v>12418.1505</v>
      </c>
      <c r="O70" s="11">
        <v>15354.8115</v>
      </c>
      <c r="P70" s="11">
        <v>10178.808999999999</v>
      </c>
      <c r="Q70" s="11">
        <v>5176.0024999999996</v>
      </c>
      <c r="R70" s="11">
        <v>456.35149999999999</v>
      </c>
    </row>
    <row r="71" spans="1:18" x14ac:dyDescent="0.4">
      <c r="A71" s="6" t="s">
        <v>29</v>
      </c>
      <c r="B71" s="11">
        <v>11921.6405</v>
      </c>
      <c r="C71" s="11">
        <v>223.6935</v>
      </c>
      <c r="D71" s="11">
        <v>260.76150000000001</v>
      </c>
      <c r="E71" s="11">
        <v>1009.3575</v>
      </c>
      <c r="F71" s="11">
        <v>4538.4579999999996</v>
      </c>
      <c r="G71" s="11">
        <v>789.81799999999998</v>
      </c>
      <c r="H71" s="11">
        <v>2.8239999999999998</v>
      </c>
      <c r="I71" s="11">
        <v>117.8535</v>
      </c>
      <c r="J71" s="11">
        <v>4978.8744999999999</v>
      </c>
      <c r="K71" s="11">
        <v>6544.7375000000002</v>
      </c>
      <c r="L71" s="11">
        <v>5376.9030000000002</v>
      </c>
      <c r="M71" s="11">
        <v>205.4975</v>
      </c>
      <c r="N71" s="11">
        <v>6191.3564999999999</v>
      </c>
      <c r="O71" s="11">
        <v>5593.0225</v>
      </c>
      <c r="P71" s="11">
        <v>3907.4470000000001</v>
      </c>
      <c r="Q71" s="11">
        <v>1685.5754999999999</v>
      </c>
      <c r="R71" s="11">
        <v>121.76600000000001</v>
      </c>
    </row>
    <row r="72" spans="1:18" x14ac:dyDescent="0.4">
      <c r="A72" s="6" t="s">
        <v>30</v>
      </c>
      <c r="B72" s="11">
        <v>3115.8625000000002</v>
      </c>
      <c r="C72" s="11">
        <v>47.148000000000003</v>
      </c>
      <c r="D72" s="11">
        <v>49.405999999999999</v>
      </c>
      <c r="E72" s="11">
        <v>198.75700000000001</v>
      </c>
      <c r="F72" s="11">
        <v>1211.5574999999999</v>
      </c>
      <c r="G72" s="11">
        <v>207.3355</v>
      </c>
      <c r="H72" s="11">
        <v>0.61250000000000004</v>
      </c>
      <c r="I72" s="11">
        <v>36.360999999999997</v>
      </c>
      <c r="J72" s="11">
        <v>1364.6849999999999</v>
      </c>
      <c r="K72" s="11">
        <v>1957.4345000000001</v>
      </c>
      <c r="L72" s="11">
        <v>1158.4280000000001</v>
      </c>
      <c r="M72" s="11">
        <v>31.635000000000002</v>
      </c>
      <c r="N72" s="11">
        <v>1940.1434999999999</v>
      </c>
      <c r="O72" s="11">
        <v>1155.059</v>
      </c>
      <c r="P72" s="11">
        <v>821.51850000000002</v>
      </c>
      <c r="Q72" s="11">
        <v>333.54050000000001</v>
      </c>
      <c r="R72" s="11">
        <v>19.2515</v>
      </c>
    </row>
    <row r="73" spans="1:18" x14ac:dyDescent="0.4">
      <c r="A73" s="6" t="s">
        <v>31</v>
      </c>
      <c r="B73" s="11">
        <v>444.32299999999998</v>
      </c>
      <c r="C73" s="11">
        <v>8.3064999999999998</v>
      </c>
      <c r="D73" s="11">
        <v>4.9664999999999999</v>
      </c>
      <c r="E73" s="11">
        <v>23.977499999999999</v>
      </c>
      <c r="F73" s="11">
        <v>193.851</v>
      </c>
      <c r="G73" s="11">
        <v>31.472000000000001</v>
      </c>
      <c r="H73" s="11">
        <v>0.1135</v>
      </c>
      <c r="I73" s="11">
        <v>5.1289999999999996</v>
      </c>
      <c r="J73" s="11">
        <v>176.50700000000001</v>
      </c>
      <c r="K73" s="11">
        <v>293.4375</v>
      </c>
      <c r="L73" s="11">
        <v>150.88550000000001</v>
      </c>
      <c r="M73" s="11">
        <v>2.9249999999999998</v>
      </c>
      <c r="N73" s="11">
        <v>308.21800000000002</v>
      </c>
      <c r="O73" s="11">
        <v>133.994</v>
      </c>
      <c r="P73" s="11">
        <v>93.644000000000005</v>
      </c>
      <c r="Q73" s="11">
        <v>40.35</v>
      </c>
      <c r="R73" s="11">
        <v>2.0649999999999999</v>
      </c>
    </row>
  </sheetData>
  <mergeCells count="3">
    <mergeCell ref="C2:J2"/>
    <mergeCell ref="K2:M2"/>
    <mergeCell ref="N2:R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095F-A69D-4425-A9FC-E282F74A6598}">
  <dimension ref="A1:P22"/>
  <sheetViews>
    <sheetView tabSelected="1" workbookViewId="0">
      <selection activeCell="H1" sqref="H1"/>
    </sheetView>
  </sheetViews>
  <sheetFormatPr defaultRowHeight="14.6" x14ac:dyDescent="0.4"/>
  <cols>
    <col min="1" max="1" width="16.3046875" customWidth="1"/>
    <col min="3" max="3" width="20.61328125" customWidth="1"/>
  </cols>
  <sheetData>
    <row r="1" spans="1:16" x14ac:dyDescent="0.4">
      <c r="A1" s="14" t="s">
        <v>92</v>
      </c>
      <c r="B1" t="s">
        <v>10</v>
      </c>
      <c r="C1" s="35" t="s">
        <v>75</v>
      </c>
      <c r="D1" s="36" t="s">
        <v>89</v>
      </c>
      <c r="E1" s="36" t="s">
        <v>90</v>
      </c>
      <c r="F1" s="36" t="s">
        <v>91</v>
      </c>
      <c r="G1" s="14" t="s">
        <v>79</v>
      </c>
      <c r="H1" s="14" t="s">
        <v>86</v>
      </c>
      <c r="I1" s="14" t="s">
        <v>87</v>
      </c>
      <c r="J1" s="14" t="s">
        <v>88</v>
      </c>
      <c r="K1" s="37"/>
      <c r="L1" s="37"/>
      <c r="M1" s="37"/>
      <c r="N1" s="37"/>
      <c r="O1" s="37"/>
      <c r="P1" s="37"/>
    </row>
    <row r="2" spans="1:16" x14ac:dyDescent="0.4">
      <c r="A2" t="s">
        <v>93</v>
      </c>
      <c r="B2">
        <v>2020</v>
      </c>
      <c r="C2" s="6" t="s">
        <v>11</v>
      </c>
      <c r="D2" s="11">
        <v>175016.2555</v>
      </c>
      <c r="E2" s="11">
        <v>88543.534</v>
      </c>
      <c r="F2" s="11">
        <v>86472.7215</v>
      </c>
    </row>
    <row r="3" spans="1:16" x14ac:dyDescent="0.4">
      <c r="A3" t="s">
        <v>93</v>
      </c>
      <c r="B3">
        <v>2020</v>
      </c>
      <c r="C3" s="6" t="s">
        <v>12</v>
      </c>
      <c r="D3" s="11">
        <v>156010.16399999999</v>
      </c>
      <c r="E3" s="11">
        <v>78774.184999999998</v>
      </c>
      <c r="F3" s="11">
        <v>77235.979000000007</v>
      </c>
    </row>
    <row r="4" spans="1:16" x14ac:dyDescent="0.4">
      <c r="A4" t="s">
        <v>93</v>
      </c>
      <c r="B4">
        <v>2020</v>
      </c>
      <c r="C4" s="6" t="s">
        <v>13</v>
      </c>
      <c r="D4" s="11">
        <v>138327.21100000001</v>
      </c>
      <c r="E4" s="11">
        <v>69800.441000000006</v>
      </c>
      <c r="F4" s="11">
        <v>68526.77</v>
      </c>
    </row>
    <row r="5" spans="1:16" x14ac:dyDescent="0.4">
      <c r="A5" t="s">
        <v>93</v>
      </c>
      <c r="B5">
        <v>2020</v>
      </c>
      <c r="C5" s="6" t="s">
        <v>14</v>
      </c>
      <c r="D5" s="11">
        <v>118349.18949999999</v>
      </c>
      <c r="E5" s="11">
        <v>59629.389499999997</v>
      </c>
      <c r="F5" s="11">
        <v>58719.8</v>
      </c>
    </row>
    <row r="6" spans="1:16" x14ac:dyDescent="0.4">
      <c r="A6" t="s">
        <v>93</v>
      </c>
      <c r="B6">
        <v>2020</v>
      </c>
      <c r="C6" s="6" t="s">
        <v>15</v>
      </c>
      <c r="D6" s="11">
        <v>99995.458499999993</v>
      </c>
      <c r="E6" s="11">
        <v>50181.953999999998</v>
      </c>
      <c r="F6" s="11">
        <v>49813.504500000003</v>
      </c>
    </row>
    <row r="7" spans="1:16" x14ac:dyDescent="0.4">
      <c r="A7" t="s">
        <v>93</v>
      </c>
      <c r="B7">
        <v>2020</v>
      </c>
      <c r="C7" s="6" t="s">
        <v>16</v>
      </c>
      <c r="D7" s="11">
        <v>85523.061000000002</v>
      </c>
      <c r="E7" s="11">
        <v>42643.589500000002</v>
      </c>
      <c r="F7" s="11">
        <v>42879.4715</v>
      </c>
    </row>
    <row r="8" spans="1:16" x14ac:dyDescent="0.4">
      <c r="A8" t="s">
        <v>93</v>
      </c>
      <c r="B8">
        <v>2020</v>
      </c>
      <c r="C8" s="6" t="s">
        <v>17</v>
      </c>
      <c r="D8" s="11">
        <v>73646.021500000003</v>
      </c>
      <c r="E8" s="11">
        <v>36545.806499999999</v>
      </c>
      <c r="F8" s="11">
        <v>37100.214999999997</v>
      </c>
    </row>
    <row r="9" spans="1:16" x14ac:dyDescent="0.4">
      <c r="A9" t="s">
        <v>93</v>
      </c>
      <c r="B9">
        <v>2020</v>
      </c>
      <c r="C9" s="6" t="s">
        <v>18</v>
      </c>
      <c r="D9" s="11">
        <v>61915.451500000003</v>
      </c>
      <c r="E9" s="11">
        <v>30722.446499999998</v>
      </c>
      <c r="F9" s="11">
        <v>31193.005000000001</v>
      </c>
    </row>
    <row r="10" spans="1:16" x14ac:dyDescent="0.4">
      <c r="A10" t="s">
        <v>93</v>
      </c>
      <c r="B10">
        <v>2020</v>
      </c>
      <c r="C10" s="6" t="s">
        <v>19</v>
      </c>
      <c r="D10" s="11">
        <v>49916.413</v>
      </c>
      <c r="E10" s="11">
        <v>24780.263500000001</v>
      </c>
      <c r="F10" s="11">
        <v>25136.1495</v>
      </c>
    </row>
    <row r="11" spans="1:16" x14ac:dyDescent="0.4">
      <c r="A11" t="s">
        <v>93</v>
      </c>
      <c r="B11">
        <v>2020</v>
      </c>
      <c r="C11" s="6" t="s">
        <v>20</v>
      </c>
      <c r="D11" s="11">
        <v>39864.377500000002</v>
      </c>
      <c r="E11" s="11">
        <v>19633.262999999999</v>
      </c>
      <c r="F11" s="11">
        <v>20231.1145</v>
      </c>
    </row>
    <row r="12" spans="1:16" x14ac:dyDescent="0.4">
      <c r="A12" t="s">
        <v>93</v>
      </c>
      <c r="B12">
        <v>2020</v>
      </c>
      <c r="C12" s="6" t="s">
        <v>21</v>
      </c>
      <c r="D12" s="11">
        <v>32322.116000000002</v>
      </c>
      <c r="E12" s="11">
        <v>15618.747499999999</v>
      </c>
      <c r="F12" s="11">
        <v>16703.3685</v>
      </c>
    </row>
    <row r="13" spans="1:16" x14ac:dyDescent="0.4">
      <c r="A13" t="s">
        <v>93</v>
      </c>
      <c r="B13">
        <v>2020</v>
      </c>
      <c r="C13" s="6" t="s">
        <v>22</v>
      </c>
      <c r="D13" s="11">
        <v>25318.693500000001</v>
      </c>
      <c r="E13" s="11">
        <v>11953.343000000001</v>
      </c>
      <c r="F13" s="11">
        <v>13365.3505</v>
      </c>
    </row>
    <row r="14" spans="1:16" x14ac:dyDescent="0.4">
      <c r="A14" t="s">
        <v>93</v>
      </c>
      <c r="B14">
        <v>2020</v>
      </c>
      <c r="C14" s="6" t="s">
        <v>23</v>
      </c>
      <c r="D14" s="11">
        <v>19156.430499999999</v>
      </c>
      <c r="E14" s="11">
        <v>8826.8435000000009</v>
      </c>
      <c r="F14" s="11">
        <v>10329.587</v>
      </c>
    </row>
    <row r="15" spans="1:16" x14ac:dyDescent="0.4">
      <c r="A15" t="s">
        <v>93</v>
      </c>
      <c r="B15">
        <v>2020</v>
      </c>
      <c r="C15" s="6" t="s">
        <v>24</v>
      </c>
      <c r="D15" s="11">
        <v>14092.924499999999</v>
      </c>
      <c r="E15" s="11">
        <v>6373.6644999999999</v>
      </c>
      <c r="F15" s="11">
        <v>7719.26</v>
      </c>
    </row>
    <row r="16" spans="1:16" x14ac:dyDescent="0.4">
      <c r="A16" t="s">
        <v>93</v>
      </c>
      <c r="B16">
        <v>2020</v>
      </c>
      <c r="C16" s="6" t="s">
        <v>25</v>
      </c>
      <c r="D16" s="11">
        <v>9592.1530000000002</v>
      </c>
      <c r="E16" s="11">
        <v>4262.9589999999998</v>
      </c>
      <c r="F16" s="11">
        <v>5329.1940000000004</v>
      </c>
    </row>
    <row r="17" spans="1:6" x14ac:dyDescent="0.4">
      <c r="A17" t="s">
        <v>93</v>
      </c>
      <c r="B17">
        <v>2020</v>
      </c>
      <c r="C17" s="6" t="s">
        <v>26</v>
      </c>
      <c r="D17" s="11">
        <v>5801.3774999999996</v>
      </c>
      <c r="E17" s="11">
        <v>2495.4124999999999</v>
      </c>
      <c r="F17" s="11">
        <v>3305.9650000000001</v>
      </c>
    </row>
    <row r="18" spans="1:6" x14ac:dyDescent="0.4">
      <c r="A18" t="s">
        <v>93</v>
      </c>
      <c r="B18">
        <v>2020</v>
      </c>
      <c r="C18" s="6" t="s">
        <v>27</v>
      </c>
      <c r="D18" s="11">
        <v>2887.7975000000001</v>
      </c>
      <c r="E18" s="11">
        <v>1171.3385000000001</v>
      </c>
      <c r="F18" s="11">
        <v>1716.4590000000001</v>
      </c>
    </row>
    <row r="19" spans="1:6" x14ac:dyDescent="0.4">
      <c r="A19" t="s">
        <v>93</v>
      </c>
      <c r="B19">
        <v>2020</v>
      </c>
      <c r="C19" s="6" t="s">
        <v>28</v>
      </c>
      <c r="D19" s="11">
        <v>1118.7725</v>
      </c>
      <c r="E19" s="11">
        <v>412.12349999999998</v>
      </c>
      <c r="F19" s="11">
        <v>706.649</v>
      </c>
    </row>
    <row r="20" spans="1:6" x14ac:dyDescent="0.4">
      <c r="A20" t="s">
        <v>93</v>
      </c>
      <c r="B20">
        <v>2020</v>
      </c>
      <c r="C20" s="6" t="s">
        <v>29</v>
      </c>
      <c r="D20" s="11">
        <v>327.4015</v>
      </c>
      <c r="E20" s="11">
        <v>103.708</v>
      </c>
      <c r="F20" s="11">
        <v>223.6935</v>
      </c>
    </row>
    <row r="21" spans="1:6" x14ac:dyDescent="0.4">
      <c r="A21" t="s">
        <v>93</v>
      </c>
      <c r="B21">
        <v>2020</v>
      </c>
      <c r="C21" s="6" t="s">
        <v>30</v>
      </c>
      <c r="D21" s="11">
        <v>66.619</v>
      </c>
      <c r="E21" s="11">
        <v>19.471</v>
      </c>
      <c r="F21" s="11">
        <v>47.148000000000003</v>
      </c>
    </row>
    <row r="22" spans="1:6" x14ac:dyDescent="0.4">
      <c r="A22" t="s">
        <v>93</v>
      </c>
      <c r="B22">
        <v>2020</v>
      </c>
      <c r="C22" s="6" t="s">
        <v>31</v>
      </c>
      <c r="D22" s="11">
        <v>11.5715</v>
      </c>
      <c r="E22" s="11">
        <v>3.2650000000000001</v>
      </c>
      <c r="F22" s="11">
        <v>8.3064999999999998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669A-8C3E-4955-8934-3F1F83824EB5}">
  <dimension ref="A1:H26"/>
  <sheetViews>
    <sheetView workbookViewId="0">
      <selection activeCell="E3" sqref="E3:H3"/>
    </sheetView>
  </sheetViews>
  <sheetFormatPr defaultRowHeight="14.6" x14ac:dyDescent="0.4"/>
  <cols>
    <col min="6" max="6" width="17.61328125" customWidth="1"/>
  </cols>
  <sheetData>
    <row r="1" spans="1:8" x14ac:dyDescent="0.4">
      <c r="C1" s="19" t="s">
        <v>33</v>
      </c>
    </row>
    <row r="2" spans="1:8" x14ac:dyDescent="0.4">
      <c r="B2" s="34" t="s">
        <v>78</v>
      </c>
      <c r="C2" s="34"/>
      <c r="D2" s="34"/>
    </row>
    <row r="3" spans="1:8" x14ac:dyDescent="0.4">
      <c r="A3" s="2" t="s">
        <v>75</v>
      </c>
      <c r="B3" s="14" t="s">
        <v>74</v>
      </c>
      <c r="C3" s="14" t="s">
        <v>76</v>
      </c>
      <c r="D3" s="14" t="s">
        <v>77</v>
      </c>
      <c r="E3" s="14" t="s">
        <v>79</v>
      </c>
      <c r="F3" s="14" t="s">
        <v>86</v>
      </c>
      <c r="G3" s="14" t="s">
        <v>87</v>
      </c>
      <c r="H3" s="14" t="s">
        <v>88</v>
      </c>
    </row>
    <row r="4" spans="1:8" x14ac:dyDescent="0.4">
      <c r="A4" s="6" t="s">
        <v>11</v>
      </c>
      <c r="B4" s="11">
        <v>679146.20200000005</v>
      </c>
      <c r="C4" s="11">
        <v>349488.397</v>
      </c>
      <c r="D4" s="11">
        <v>329657.80499999999</v>
      </c>
      <c r="E4">
        <f>C4/D4*100</f>
        <v>106.01550811150975</v>
      </c>
      <c r="F4" s="30">
        <f>B4/$B$26*100</f>
        <v>8.6615263781562213</v>
      </c>
      <c r="G4" s="30">
        <f>C4/$B$26*100</f>
        <v>4.4572184318495731</v>
      </c>
      <c r="H4" s="30">
        <f>D4/$B$26*100</f>
        <v>4.2043079463066482</v>
      </c>
    </row>
    <row r="5" spans="1:8" x14ac:dyDescent="0.4">
      <c r="A5" s="6" t="s">
        <v>12</v>
      </c>
      <c r="B5" s="11">
        <v>681410.50950000004</v>
      </c>
      <c r="C5" s="11">
        <v>351560.24900000001</v>
      </c>
      <c r="D5" s="11">
        <v>329850.26049999997</v>
      </c>
      <c r="E5">
        <f t="shared" ref="E5:E26" si="0">C5/D5*100</f>
        <v>106.58177091238042</v>
      </c>
      <c r="F5" s="30">
        <f t="shared" ref="F5:F26" si="1">B5/$B$26*100</f>
        <v>8.6904043415192671</v>
      </c>
      <c r="G5" s="30">
        <f t="shared" ref="G5:G24" si="2">C5/$B$26*100</f>
        <v>4.4836419039926678</v>
      </c>
      <c r="H5" s="30">
        <f t="shared" ref="H5:H24" si="3">D5/$B$26*100</f>
        <v>4.2067624375265975</v>
      </c>
    </row>
    <row r="6" spans="1:8" x14ac:dyDescent="0.4">
      <c r="A6" s="6" t="s">
        <v>13</v>
      </c>
      <c r="B6" s="11">
        <v>653182.02800000005</v>
      </c>
      <c r="C6" s="11">
        <v>337363.69099999999</v>
      </c>
      <c r="D6" s="11">
        <v>315818.337</v>
      </c>
      <c r="E6">
        <f t="shared" si="0"/>
        <v>106.82207189255131</v>
      </c>
      <c r="F6" s="30">
        <f t="shared" si="1"/>
        <v>8.3303909358526838</v>
      </c>
      <c r="G6" s="30">
        <f t="shared" si="2"/>
        <v>4.3025853638339928</v>
      </c>
      <c r="H6" s="30">
        <f t="shared" si="3"/>
        <v>4.0278055720186901</v>
      </c>
    </row>
    <row r="7" spans="1:8" x14ac:dyDescent="0.4">
      <c r="A7" s="6" t="s">
        <v>14</v>
      </c>
      <c r="B7" s="11">
        <v>619493.50749999995</v>
      </c>
      <c r="C7" s="11">
        <v>319816.71899999998</v>
      </c>
      <c r="D7" s="11">
        <v>299676.78850000002</v>
      </c>
      <c r="E7">
        <f t="shared" si="0"/>
        <v>106.72055069757262</v>
      </c>
      <c r="F7" s="30">
        <f t="shared" si="1"/>
        <v>7.9007426390757738</v>
      </c>
      <c r="G7" s="30">
        <f t="shared" si="2"/>
        <v>4.0787991446264114</v>
      </c>
      <c r="H7" s="30">
        <f t="shared" si="3"/>
        <v>3.8219434944493633</v>
      </c>
    </row>
    <row r="8" spans="1:8" x14ac:dyDescent="0.4">
      <c r="A8" s="6" t="s">
        <v>15</v>
      </c>
      <c r="B8" s="11">
        <v>598042.50899999996</v>
      </c>
      <c r="C8" s="11">
        <v>308351.68349999998</v>
      </c>
      <c r="D8" s="11">
        <v>289690.82549999998</v>
      </c>
      <c r="E8">
        <f t="shared" si="0"/>
        <v>106.44164618185327</v>
      </c>
      <c r="F8" s="30">
        <f t="shared" si="1"/>
        <v>7.6271662150327826</v>
      </c>
      <c r="G8" s="30">
        <f t="shared" si="2"/>
        <v>3.9325792186115005</v>
      </c>
      <c r="H8" s="30">
        <f t="shared" si="3"/>
        <v>3.6945869964212812</v>
      </c>
    </row>
    <row r="9" spans="1:8" x14ac:dyDescent="0.4">
      <c r="A9" s="6" t="s">
        <v>16</v>
      </c>
      <c r="B9" s="11">
        <v>598212.11849999998</v>
      </c>
      <c r="C9" s="11">
        <v>306985.14799999999</v>
      </c>
      <c r="D9" s="11">
        <v>291226.9705</v>
      </c>
      <c r="E9">
        <f t="shared" si="0"/>
        <v>105.41096089862323</v>
      </c>
      <c r="F9" s="30">
        <f t="shared" si="1"/>
        <v>7.6293293386045695</v>
      </c>
      <c r="G9" s="30">
        <f t="shared" si="2"/>
        <v>3.9151510371020102</v>
      </c>
      <c r="H9" s="30">
        <f t="shared" si="3"/>
        <v>3.7141783015025589</v>
      </c>
    </row>
    <row r="10" spans="1:8" x14ac:dyDescent="0.4">
      <c r="A10" s="6" t="s">
        <v>17</v>
      </c>
      <c r="B10" s="11">
        <v>601652.96750000003</v>
      </c>
      <c r="C10" s="11">
        <v>307163.72249999997</v>
      </c>
      <c r="D10" s="11">
        <v>294489.245</v>
      </c>
      <c r="E10">
        <f t="shared" si="0"/>
        <v>104.303884680067</v>
      </c>
      <c r="F10" s="30">
        <f t="shared" si="1"/>
        <v>7.6732123851253133</v>
      </c>
      <c r="G10" s="30">
        <f t="shared" si="2"/>
        <v>3.9174284962671524</v>
      </c>
      <c r="H10" s="30">
        <f t="shared" si="3"/>
        <v>3.7557838888581605</v>
      </c>
    </row>
    <row r="11" spans="1:8" x14ac:dyDescent="0.4">
      <c r="A11" s="6" t="s">
        <v>18</v>
      </c>
      <c r="B11" s="11">
        <v>549704.94099999999</v>
      </c>
      <c r="C11" s="11">
        <v>279421.7905</v>
      </c>
      <c r="D11" s="11">
        <v>270283.15049999999</v>
      </c>
      <c r="E11">
        <f t="shared" si="0"/>
        <v>103.38113566572476</v>
      </c>
      <c r="F11" s="30">
        <f t="shared" si="1"/>
        <v>7.0106905297459194</v>
      </c>
      <c r="G11" s="30">
        <f t="shared" si="2"/>
        <v>3.5636203249317315</v>
      </c>
      <c r="H11" s="30">
        <f t="shared" si="3"/>
        <v>3.4470702048141879</v>
      </c>
    </row>
    <row r="12" spans="1:8" x14ac:dyDescent="0.4">
      <c r="A12" s="6" t="s">
        <v>19</v>
      </c>
      <c r="B12" s="11">
        <v>491737.685</v>
      </c>
      <c r="C12" s="11">
        <v>248929.27849999999</v>
      </c>
      <c r="D12" s="11">
        <v>242808.40650000001</v>
      </c>
      <c r="E12">
        <f t="shared" si="0"/>
        <v>102.52086494377615</v>
      </c>
      <c r="F12" s="30">
        <f t="shared" si="1"/>
        <v>6.2714021181568418</v>
      </c>
      <c r="G12" s="30">
        <f t="shared" si="2"/>
        <v>3.174732488635998</v>
      </c>
      <c r="H12" s="30">
        <f t="shared" si="3"/>
        <v>3.0966696295208447</v>
      </c>
    </row>
    <row r="13" spans="1:8" x14ac:dyDescent="0.4">
      <c r="A13" s="6" t="s">
        <v>20</v>
      </c>
      <c r="B13" s="11">
        <v>477345.11</v>
      </c>
      <c r="C13" s="11">
        <v>240137.30499999999</v>
      </c>
      <c r="D13" s="11">
        <v>237207.80499999999</v>
      </c>
      <c r="E13">
        <f t="shared" si="0"/>
        <v>101.23499308970882</v>
      </c>
      <c r="F13" s="30">
        <f t="shared" si="1"/>
        <v>6.0878456650028987</v>
      </c>
      <c r="G13" s="30">
        <f t="shared" si="2"/>
        <v>3.0626035977402783</v>
      </c>
      <c r="H13" s="30">
        <f t="shared" si="3"/>
        <v>3.0252420672626203</v>
      </c>
    </row>
    <row r="14" spans="1:8" x14ac:dyDescent="0.4">
      <c r="A14" s="6" t="s">
        <v>21</v>
      </c>
      <c r="B14" s="11">
        <v>443293.00699999998</v>
      </c>
      <c r="C14" s="11">
        <v>221073.24900000001</v>
      </c>
      <c r="D14" s="11">
        <v>222219.758</v>
      </c>
      <c r="E14">
        <f t="shared" si="0"/>
        <v>99.484065228799324</v>
      </c>
      <c r="F14" s="30">
        <f t="shared" si="1"/>
        <v>5.6535603999191473</v>
      </c>
      <c r="G14" s="30">
        <f t="shared" si="2"/>
        <v>2.8194691689053997</v>
      </c>
      <c r="H14" s="30">
        <f t="shared" si="3"/>
        <v>2.8340912310137489</v>
      </c>
    </row>
    <row r="15" spans="1:8" x14ac:dyDescent="0.4">
      <c r="A15" s="6" t="s">
        <v>22</v>
      </c>
      <c r="B15" s="11">
        <v>387139.4</v>
      </c>
      <c r="C15" s="11">
        <v>190547.42300000001</v>
      </c>
      <c r="D15" s="11">
        <v>196591.97700000001</v>
      </c>
      <c r="E15">
        <f t="shared" si="0"/>
        <v>96.925330274286821</v>
      </c>
      <c r="F15" s="30">
        <f t="shared" si="1"/>
        <v>4.9374024550954836</v>
      </c>
      <c r="G15" s="30">
        <f t="shared" si="2"/>
        <v>2.4301564607795476</v>
      </c>
      <c r="H15" s="30">
        <f t="shared" si="3"/>
        <v>2.507245994315936</v>
      </c>
    </row>
    <row r="16" spans="1:8" x14ac:dyDescent="0.4">
      <c r="A16" s="6" t="s">
        <v>23</v>
      </c>
      <c r="B16" s="11">
        <v>321115.33750000002</v>
      </c>
      <c r="C16" s="11">
        <v>154990.17199999999</v>
      </c>
      <c r="D16" s="11">
        <v>166125.1655</v>
      </c>
      <c r="E16">
        <f t="shared" si="0"/>
        <v>93.297226542115922</v>
      </c>
      <c r="F16" s="30">
        <f t="shared" si="1"/>
        <v>4.0953611431471835</v>
      </c>
      <c r="G16" s="30">
        <f t="shared" si="2"/>
        <v>1.9766752124647378</v>
      </c>
      <c r="H16" s="30">
        <f t="shared" si="3"/>
        <v>2.118685930682445</v>
      </c>
    </row>
    <row r="17" spans="1:8" x14ac:dyDescent="0.4">
      <c r="A17" s="6" t="s">
        <v>24</v>
      </c>
      <c r="B17" s="11">
        <v>269183.97249999997</v>
      </c>
      <c r="C17" s="11">
        <v>126676.0515</v>
      </c>
      <c r="D17" s="11">
        <v>142507.921</v>
      </c>
      <c r="E17">
        <f t="shared" si="0"/>
        <v>88.89053367075644</v>
      </c>
      <c r="F17" s="30">
        <f t="shared" si="1"/>
        <v>3.4330517810738321</v>
      </c>
      <c r="G17" s="30">
        <f t="shared" si="2"/>
        <v>1.6155696053615358</v>
      </c>
      <c r="H17" s="30">
        <f t="shared" si="3"/>
        <v>1.8174821757122965</v>
      </c>
    </row>
    <row r="18" spans="1:8" x14ac:dyDescent="0.4">
      <c r="A18" s="6" t="s">
        <v>25</v>
      </c>
      <c r="B18" s="11">
        <v>192454.75</v>
      </c>
      <c r="C18" s="11">
        <v>88188.063999999998</v>
      </c>
      <c r="D18" s="11">
        <v>104266.686</v>
      </c>
      <c r="E18">
        <f t="shared" si="0"/>
        <v>84.579329585674174</v>
      </c>
      <c r="F18" s="30">
        <f t="shared" si="1"/>
        <v>2.4544816547858144</v>
      </c>
      <c r="G18" s="30">
        <f t="shared" si="2"/>
        <v>1.1247110568020655</v>
      </c>
      <c r="H18" s="30">
        <f t="shared" si="3"/>
        <v>1.3297705979837491</v>
      </c>
    </row>
    <row r="19" spans="1:8" x14ac:dyDescent="0.4">
      <c r="A19" s="6" t="s">
        <v>26</v>
      </c>
      <c r="B19" s="11">
        <v>126084.348</v>
      </c>
      <c r="C19" s="11">
        <v>55412.777000000002</v>
      </c>
      <c r="D19" s="11">
        <v>70671.570999999996</v>
      </c>
      <c r="E19">
        <f t="shared" si="0"/>
        <v>78.408865426240496</v>
      </c>
      <c r="F19" s="30">
        <f t="shared" si="1"/>
        <v>1.6080232840271831</v>
      </c>
      <c r="G19" s="30">
        <f t="shared" si="2"/>
        <v>0.70670973092239775</v>
      </c>
      <c r="H19" s="30">
        <f t="shared" si="3"/>
        <v>0.90131355310478523</v>
      </c>
    </row>
    <row r="20" spans="1:8" x14ac:dyDescent="0.4">
      <c r="A20" s="6" t="s">
        <v>27</v>
      </c>
      <c r="B20" s="11">
        <v>85059.072</v>
      </c>
      <c r="C20" s="11">
        <v>34587.608999999997</v>
      </c>
      <c r="D20" s="11">
        <v>50471.463000000003</v>
      </c>
      <c r="E20">
        <f t="shared" si="0"/>
        <v>68.52903986555728</v>
      </c>
      <c r="F20" s="30">
        <f t="shared" si="1"/>
        <v>1.0848052947360651</v>
      </c>
      <c r="G20" s="30">
        <f t="shared" si="2"/>
        <v>0.4411148686816237</v>
      </c>
      <c r="H20" s="30">
        <f t="shared" si="3"/>
        <v>0.64369042605444149</v>
      </c>
    </row>
    <row r="21" spans="1:8" x14ac:dyDescent="0.4">
      <c r="A21" s="6" t="s">
        <v>28</v>
      </c>
      <c r="B21" s="11">
        <v>44648.644999999997</v>
      </c>
      <c r="C21" s="11">
        <v>16353.919</v>
      </c>
      <c r="D21" s="11">
        <v>28294.725999999999</v>
      </c>
      <c r="E21">
        <f t="shared" si="0"/>
        <v>57.798470994205772</v>
      </c>
      <c r="F21" s="30">
        <f t="shared" si="1"/>
        <v>0.56942881411627599</v>
      </c>
      <c r="G21" s="30">
        <f t="shared" si="2"/>
        <v>0.20857055577663411</v>
      </c>
      <c r="H21" s="30">
        <f t="shared" si="3"/>
        <v>0.36085825833964197</v>
      </c>
    </row>
    <row r="22" spans="1:8" x14ac:dyDescent="0.4">
      <c r="A22" s="6" t="s">
        <v>29</v>
      </c>
      <c r="B22" s="11">
        <v>17369.871999999999</v>
      </c>
      <c r="C22" s="11">
        <v>5448.2314999999999</v>
      </c>
      <c r="D22" s="11">
        <v>11921.6405</v>
      </c>
      <c r="E22">
        <f t="shared" si="0"/>
        <v>45.700350551587263</v>
      </c>
      <c r="F22" s="30">
        <f t="shared" si="1"/>
        <v>0.22152756515481059</v>
      </c>
      <c r="G22" s="30">
        <f t="shared" si="2"/>
        <v>6.9484303545514992E-2</v>
      </c>
      <c r="H22" s="30">
        <f t="shared" si="3"/>
        <v>0.1520432616092956</v>
      </c>
    </row>
    <row r="23" spans="1:8" x14ac:dyDescent="0.4">
      <c r="A23" s="6" t="s">
        <v>30</v>
      </c>
      <c r="B23" s="11">
        <v>4129.3549999999996</v>
      </c>
      <c r="C23" s="11">
        <v>1013.4924999999999</v>
      </c>
      <c r="D23" s="11">
        <v>3115.8625000000002</v>
      </c>
      <c r="E23">
        <f t="shared" si="0"/>
        <v>32.526868563680196</v>
      </c>
      <c r="F23" s="30">
        <f t="shared" si="1"/>
        <v>5.2663943569062732E-2</v>
      </c>
      <c r="G23" s="30">
        <f t="shared" si="2"/>
        <v>1.2925629263569809E-2</v>
      </c>
      <c r="H23" s="30">
        <f t="shared" si="3"/>
        <v>3.9738314305492933E-2</v>
      </c>
    </row>
    <row r="24" spans="1:8" x14ac:dyDescent="0.4">
      <c r="A24" s="6" t="s">
        <v>31</v>
      </c>
      <c r="B24" s="11">
        <v>547.54300000000001</v>
      </c>
      <c r="C24" s="11">
        <v>103.22</v>
      </c>
      <c r="D24" s="11">
        <v>444.32299999999998</v>
      </c>
      <c r="E24">
        <f t="shared" si="0"/>
        <v>23.230847829169321</v>
      </c>
      <c r="F24" s="30">
        <f t="shared" si="1"/>
        <v>6.9831181028599662E-3</v>
      </c>
      <c r="G24" s="30">
        <f t="shared" si="2"/>
        <v>1.3164216336930721E-3</v>
      </c>
      <c r="H24" s="30">
        <f t="shared" si="3"/>
        <v>5.6666964691668943E-3</v>
      </c>
    </row>
    <row r="26" spans="1:8" x14ac:dyDescent="0.4">
      <c r="A26" s="24" t="s">
        <v>74</v>
      </c>
      <c r="B26" s="25">
        <f>SUM(B4:B24)</f>
        <v>7840952.8800000008</v>
      </c>
      <c r="C26" s="25">
        <f t="shared" ref="C26:D26" si="4">SUM(C4:C24)</f>
        <v>3943612.1925000008</v>
      </c>
      <c r="D26" s="25">
        <f t="shared" si="4"/>
        <v>3897340.6875000005</v>
      </c>
      <c r="E26">
        <f t="shared" si="0"/>
        <v>101.18725840798079</v>
      </c>
      <c r="F26" s="30">
        <f t="shared" si="1"/>
        <v>100</v>
      </c>
      <c r="G26" s="30">
        <f t="shared" ref="G26" si="5">C26/$B$26*100</f>
        <v>50.295063021728048</v>
      </c>
      <c r="H26" s="30">
        <f t="shared" ref="H26" si="6">D26/$B$26*100</f>
        <v>49.704936978271959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Standardized</vt:lpstr>
      <vt:lpstr>Sheet2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2024-02-04T12:46:54Z</dcterms:created>
  <dcterms:modified xsi:type="dcterms:W3CDTF">2024-02-14T11:58:53Z</dcterms:modified>
</cp:coreProperties>
</file>