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ions\Dropbox\FLAME\Courses\DemographyCourse\IntroDemogography-UG2\PUBP233_Demog-2026\DataSheets\"/>
    </mc:Choice>
  </mc:AlternateContent>
  <xr:revisionPtr revIDLastSave="0" documentId="13_ncr:1_{0C5956BB-44AB-454E-8C24-C95E10996119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Pop growth" sheetId="1" r:id="rId1"/>
    <sheet name="Sw-Kz" sheetId="2" r:id="rId2"/>
    <sheet name="age standardiz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3" l="1"/>
  <c r="F13" i="3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A17" i="1"/>
  <c r="A18" i="1" s="1"/>
  <c r="A19" i="1" s="1"/>
  <c r="A20" i="1" s="1"/>
  <c r="A21" i="1" s="1"/>
  <c r="A9" i="1"/>
  <c r="A10" i="1" s="1"/>
  <c r="A11" i="1" s="1"/>
</calcChain>
</file>

<file path=xl/sharedStrings.xml><?xml version="1.0" encoding="utf-8"?>
<sst xmlns="http://schemas.openxmlformats.org/spreadsheetml/2006/main" count="110" uniqueCount="61">
  <si>
    <t>growth rate</t>
  </si>
  <si>
    <t>r</t>
  </si>
  <si>
    <t>Time (t)</t>
  </si>
  <si>
    <t>Population</t>
  </si>
  <si>
    <t>Comparison of crude death rates and age-specific death rates in two populations (Females, 1992)</t>
  </si>
  <si>
    <t>🇸🇪 Sweden (Females, 1992)</t>
  </si>
  <si>
    <t>🇰🇿 Kazakhstan (Females, 1992)</t>
  </si>
  <si>
    <t>Age group</t>
  </si>
  <si>
    <t>Mid-year population (Nᵢˢʷ)</t>
  </si>
  <si>
    <t>Deaths during year (Dᵢˢʷ)</t>
  </si>
  <si>
    <t>Age-specific death rate (Mᵢˢʷ)</t>
  </si>
  <si>
    <t>Proportion in age group (Cᵢˢʷ)</t>
  </si>
  <si>
    <t>Mid-year population (Nᵢᵏ)</t>
  </si>
  <si>
    <t>Deaths during year (Dᵢᵏ)</t>
  </si>
  <si>
    <t>Age-specific death rate (Mᵢᵏ)</t>
  </si>
  <si>
    <t>Proportion in age group (Cᵢᵏ)</t>
  </si>
  <si>
    <t>0-1</t>
  </si>
  <si>
    <t>0-0</t>
  </si>
  <si>
    <t>1–4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</si>
  <si>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</si>
  <si>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</si>
  <si>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</si>
  <si>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</si>
  <si>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</si>
  <si>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</si>
  <si>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</si>
  <si>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</si>
  <si>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</si>
  <si>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</si>
  <si>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</si>
  <si>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</si>
  <si>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</si>
  <si>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</si>
  <si>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</si>
  <si>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</si>
  <si>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85+</t>
  </si>
  <si>
    <t>All ages</t>
  </si>
  <si>
    <t>Crude Death Rate (CDR): 10.55 per 1,000</t>
  </si>
  <si>
    <t>Crude Death Rate (CDR): 7.42 per 1,000</t>
  </si>
  <si>
    <t>CDR_Sw</t>
  </si>
  <si>
    <t>XX</t>
  </si>
  <si>
    <t>CDR_Kz</t>
  </si>
  <si>
    <t>ECUADOR</t>
  </si>
  <si>
    <t>SWEDEN</t>
  </si>
  <si>
    <t>Age (Years)</t>
  </si>
  <si>
    <t>No. of deaths</t>
  </si>
  <si>
    <t>Population (1,000’s)</t>
  </si>
  <si>
    <t>Rate (per 1000 pyrs)</t>
  </si>
  <si>
    <t>0-29</t>
  </si>
  <si>
    <t>30-59</t>
  </si>
  <si>
    <t>60+</t>
  </si>
  <si>
    <t>Hypothetical pop</t>
  </si>
  <si>
    <t>SWDEN</t>
  </si>
  <si>
    <t>Age (years)</t>
  </si>
  <si>
    <t>Mortality Rate for Sweden (per 1000 pyrs)</t>
  </si>
  <si>
    <t>Standard Population</t>
  </si>
  <si>
    <t>Expected No. of Deaths</t>
  </si>
  <si>
    <t>Total</t>
  </si>
  <si>
    <t>TOTAL</t>
  </si>
  <si>
    <t>CDR-SW</t>
  </si>
  <si>
    <t>CDR-EQ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</si>
</sst>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9" fontId="1" fillId="0" borderId="0" xfId="0" applyNumberFormat="1" applyFont="1"/>
    <xf numFmtId="1" fontId="2" fillId="0" borderId="0" xfId="0" applyNumberFormat="1" applyFont="1"/>
    <xf numFmtId="1" fontId="1" fillId="2" borderId="0" xfId="0" applyNumberFormat="1" applyFont="1" applyFill="1"/>
    <xf numFmtId="1" fontId="2" fillId="2" borderId="0" xfId="0" applyNumberFormat="1" applyFont="1" applyFill="1"/>
    <xf numFmtId="1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3" fontId="2" fillId="0" borderId="0" xfId="0" applyNumberFormat="1" applyFont="1"/>
    <xf numFmtId="0" fontId="2" fillId="3" borderId="0" xfId="0" applyFont="1" applyFill="1"/>
    <xf numFmtId="164" fontId="2" fillId="0" borderId="0" xfId="0" applyNumberFormat="1" applyFont="1"/>
    <xf numFmtId="0" fontId="1" fillId="2" borderId="0" xfId="0" applyFont="1" applyFill="1"/>
    <xf numFmtId="3" fontId="1" fillId="0" borderId="0" xfId="0" applyNumberFormat="1" applyFont="1"/>
    <xf numFmtId="164" fontId="1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2" fontId="1" fillId="2" borderId="0" xfId="0" applyNumberFormat="1" applyFont="1" applyFill="1"/>
    <xf numFmtId="0" fontId="1" fillId="4" borderId="0" xfId="0" applyFont="1" applyFill="1"/>
    <xf numFmtId="2" fontId="2" fillId="2" borderId="0" xfId="0" applyNumberFormat="1" applyFont="1" applyFill="1"/>
    <xf numFmtId="0" fontId="2" fillId="4" borderId="0" xfId="0" applyFont="1" applyFill="1"/>
    <xf numFmtId="1" fontId="1" fillId="4" borderId="0" xfId="0" applyNumberFormat="1" applyFont="1" applyFill="1"/>
    <xf numFmtId="1" fontId="2" fillId="4" borderId="0" xfId="0" applyNumberFormat="1" applyFont="1" applyFill="1"/>
    <xf numFmtId="2" fontId="1" fillId="0" borderId="0" xfId="0" applyNumberFormat="1" applyFont="1"/>
    <xf numFmtId="165" fontId="2" fillId="2" borderId="0" xfId="0" applyNumberFormat="1" applyFont="1" applyFill="1"/>
    <xf numFmtId="0" fontId="2" fillId="0" borderId="0" xfId="0" applyFont="1"/>
    <xf numFmtId="0" fontId="0" fillId="0" borderId="0" xfId="0"/>
    <xf numFmtId="0" fontId="3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30"/>
  <sheetViews>
    <sheetView workbookViewId="0"/>
  </sheetViews>
  <sheetFormatPr defaultColWidth="12.61328125" defaultRowHeight="15.75" customHeight="1" x14ac:dyDescent="0.3"/>
  <sheetData>
    <row r="2" spans="1:3" ht="15.75" customHeight="1" x14ac:dyDescent="0.3">
      <c r="A2" s="1" t="s">
        <v>0</v>
      </c>
    </row>
    <row r="3" spans="1:3" ht="15.75" customHeight="1" x14ac:dyDescent="0.3">
      <c r="A3" s="1" t="s">
        <v>1</v>
      </c>
      <c r="B3" s="2">
        <v>0.01</v>
      </c>
      <c r="C3" s="1">
        <v>0.01</v>
      </c>
    </row>
    <row r="5" spans="1:3" ht="15.75" customHeight="1" x14ac:dyDescent="0.3">
      <c r="A5" s="1" t="s">
        <v>2</v>
      </c>
      <c r="B5" s="1" t="s">
        <v>3</v>
      </c>
    </row>
    <row r="6" spans="1:3" ht="15.75" customHeight="1" x14ac:dyDescent="0.3">
      <c r="A6" s="1">
        <v>0</v>
      </c>
      <c r="B6" s="3">
        <v>1000</v>
      </c>
    </row>
    <row r="7" spans="1:3" ht="15.75" customHeight="1" x14ac:dyDescent="0.3">
      <c r="A7" s="1">
        <v>1</v>
      </c>
      <c r="B7" s="4"/>
    </row>
    <row r="8" spans="1:3" ht="15.75" customHeight="1" x14ac:dyDescent="0.3">
      <c r="A8" s="1">
        <v>2</v>
      </c>
      <c r="B8" s="4"/>
    </row>
    <row r="9" spans="1:3" ht="15.75" customHeight="1" x14ac:dyDescent="0.3">
      <c r="A9" s="1">
        <f t="shared" ref="A9:A11" si="0">A8+1</f>
        <v>3</v>
      </c>
      <c r="B9" s="4"/>
    </row>
    <row r="10" spans="1:3" ht="15.75" customHeight="1" x14ac:dyDescent="0.3">
      <c r="A10" s="1">
        <f t="shared" si="0"/>
        <v>4</v>
      </c>
      <c r="B10" s="4"/>
    </row>
    <row r="11" spans="1:3" ht="15.75" customHeight="1" x14ac:dyDescent="0.3">
      <c r="A11" s="1">
        <f t="shared" si="0"/>
        <v>5</v>
      </c>
      <c r="B11" s="4"/>
    </row>
    <row r="12" spans="1:3" ht="15.75" customHeight="1" x14ac:dyDescent="0.3">
      <c r="A12" s="1">
        <v>10</v>
      </c>
      <c r="B12" s="4"/>
    </row>
    <row r="13" spans="1:3" ht="15.75" customHeight="1" x14ac:dyDescent="0.3">
      <c r="A13" s="1">
        <v>20</v>
      </c>
      <c r="B13" s="4"/>
    </row>
    <row r="14" spans="1:3" ht="15.75" customHeight="1" x14ac:dyDescent="0.3">
      <c r="A14" s="1">
        <v>30</v>
      </c>
      <c r="B14" s="4"/>
    </row>
    <row r="15" spans="1:3" ht="15.75" customHeight="1" x14ac:dyDescent="0.3">
      <c r="A15" s="1">
        <v>40</v>
      </c>
      <c r="B15" s="4"/>
    </row>
    <row r="16" spans="1:3" ht="15.75" customHeight="1" x14ac:dyDescent="0.3">
      <c r="A16" s="1">
        <v>50</v>
      </c>
      <c r="B16" s="4"/>
    </row>
    <row r="17" spans="1:3" ht="15.75" customHeight="1" x14ac:dyDescent="0.3">
      <c r="A17" s="1">
        <f t="shared" ref="A17:A21" si="1">A16+10</f>
        <v>60</v>
      </c>
      <c r="B17" s="4"/>
    </row>
    <row r="18" spans="1:3" ht="15.75" customHeight="1" x14ac:dyDescent="0.3">
      <c r="A18" s="1">
        <f t="shared" si="1"/>
        <v>70</v>
      </c>
      <c r="B18" s="4"/>
    </row>
    <row r="19" spans="1:3" ht="15.75" customHeight="1" x14ac:dyDescent="0.3">
      <c r="A19" s="1">
        <f t="shared" si="1"/>
        <v>80</v>
      </c>
      <c r="B19" s="4"/>
    </row>
    <row r="20" spans="1:3" ht="15.75" customHeight="1" x14ac:dyDescent="0.3">
      <c r="A20" s="1">
        <f t="shared" si="1"/>
        <v>90</v>
      </c>
      <c r="B20" s="4"/>
    </row>
    <row r="21" spans="1:3" ht="15.75" customHeight="1" x14ac:dyDescent="0.3">
      <c r="A21" s="1">
        <f t="shared" si="1"/>
        <v>100</v>
      </c>
      <c r="B21" s="5"/>
    </row>
    <row r="22" spans="1:3" ht="15.75" customHeight="1" x14ac:dyDescent="0.3">
      <c r="A22" s="1">
        <v>200</v>
      </c>
      <c r="B22" s="4"/>
    </row>
    <row r="23" spans="1:3" ht="15.75" customHeight="1" x14ac:dyDescent="0.3">
      <c r="A23" s="1">
        <v>500</v>
      </c>
      <c r="B23" s="4"/>
      <c r="C23" s="6"/>
    </row>
    <row r="24" spans="1:3" ht="15.75" customHeight="1" x14ac:dyDescent="0.3">
      <c r="A24" s="1">
        <v>700</v>
      </c>
      <c r="B24" s="4"/>
      <c r="C24" s="6"/>
    </row>
    <row r="25" spans="1:3" ht="15.75" customHeight="1" x14ac:dyDescent="0.3">
      <c r="B25" s="6"/>
    </row>
    <row r="26" spans="1:3" ht="15.75" customHeight="1" x14ac:dyDescent="0.3">
      <c r="B26" s="6"/>
    </row>
    <row r="27" spans="1:3" ht="15.75" customHeight="1" x14ac:dyDescent="0.3">
      <c r="B27" s="6"/>
    </row>
    <row r="28" spans="1:3" ht="15.75" customHeight="1" x14ac:dyDescent="0.3">
      <c r="B28" s="6"/>
    </row>
    <row r="29" spans="1:3" ht="15.75" customHeight="1" x14ac:dyDescent="0.3">
      <c r="B29" s="6"/>
    </row>
    <row r="30" spans="1:3" ht="12.45" x14ac:dyDescent="0.3">
      <c r="B3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7"/>
  <sheetViews>
    <sheetView workbookViewId="0">
      <selection activeCell="D4" sqref="D4"/>
    </sheetView>
  </sheetViews>
  <sheetFormatPr defaultColWidth="12.61328125" defaultRowHeight="15.75" customHeight="1" x14ac:dyDescent="0.3"/>
  <sheetData>
    <row r="1" spans="1:26" ht="15.75" customHeight="1" x14ac:dyDescent="0.3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3">
      <c r="A2" s="7" t="s">
        <v>5</v>
      </c>
      <c r="G2" s="1" t="s">
        <v>6</v>
      </c>
    </row>
    <row r="3" spans="1:26" ht="28.3" customHeight="1" x14ac:dyDescent="0.3">
      <c r="A3" s="8" t="s">
        <v>7</v>
      </c>
      <c r="B3" s="8" t="s">
        <v>8</v>
      </c>
      <c r="C3" s="8" t="s">
        <v>9</v>
      </c>
      <c r="D3" s="9" t="s">
        <v>10</v>
      </c>
      <c r="E3" s="8" t="s">
        <v>11</v>
      </c>
      <c r="F3" s="10"/>
      <c r="G3" s="11" t="s">
        <v>7</v>
      </c>
      <c r="H3" s="8" t="s">
        <v>12</v>
      </c>
      <c r="I3" s="8" t="s">
        <v>13</v>
      </c>
      <c r="J3" s="11" t="s">
        <v>14</v>
      </c>
      <c r="K3" s="8" t="s">
        <v>15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3">
      <c r="A4" s="1" t="s">
        <v>16</v>
      </c>
      <c r="B4" s="12">
        <v>59727</v>
      </c>
      <c r="C4" s="7">
        <v>279</v>
      </c>
      <c r="D4" s="13"/>
      <c r="E4" s="1">
        <v>1.3599999999999999E-2</v>
      </c>
      <c r="F4" s="14">
        <f t="shared" ref="F4:F22" si="0">C4/B4</f>
        <v>4.6712542066402133E-3</v>
      </c>
      <c r="G4" s="15" t="s">
        <v>17</v>
      </c>
      <c r="H4" s="16">
        <v>174078</v>
      </c>
      <c r="I4" s="16">
        <v>3720</v>
      </c>
      <c r="J4" s="15"/>
      <c r="K4" s="1">
        <v>0.02</v>
      </c>
    </row>
    <row r="5" spans="1:26" ht="15.75" customHeight="1" x14ac:dyDescent="0.3">
      <c r="A5" s="1" t="s">
        <v>18</v>
      </c>
      <c r="B5" s="16">
        <v>229775</v>
      </c>
      <c r="C5" s="1">
        <v>42</v>
      </c>
      <c r="D5" s="13"/>
      <c r="E5" s="1">
        <v>5.2400000000000002E-2</v>
      </c>
      <c r="F5" s="14">
        <f t="shared" si="0"/>
        <v>1.8278750952018278E-4</v>
      </c>
      <c r="G5" s="15" t="s">
        <v>18</v>
      </c>
      <c r="H5" s="16">
        <v>754758</v>
      </c>
      <c r="I5" s="16">
        <v>1220</v>
      </c>
      <c r="J5" s="15"/>
      <c r="K5" s="1">
        <v>8.6800000000000002E-2</v>
      </c>
    </row>
    <row r="6" spans="1:26" ht="15.75" customHeight="1" x14ac:dyDescent="0.3">
      <c r="A6" s="1" t="s">
        <v>19</v>
      </c>
      <c r="B6" s="16">
        <v>245172</v>
      </c>
      <c r="C6" s="1">
        <v>31</v>
      </c>
      <c r="D6" s="13"/>
      <c r="E6" s="1">
        <v>5.5899999999999998E-2</v>
      </c>
      <c r="F6" s="14">
        <f t="shared" si="0"/>
        <v>1.264418449088803E-4</v>
      </c>
      <c r="G6" s="15" t="s">
        <v>19</v>
      </c>
      <c r="H6" s="16">
        <v>879129</v>
      </c>
      <c r="I6" s="1">
        <v>396</v>
      </c>
      <c r="J6" s="15"/>
      <c r="K6" s="1">
        <v>0.1011</v>
      </c>
    </row>
    <row r="7" spans="1:26" ht="15.75" customHeight="1" x14ac:dyDescent="0.3">
      <c r="A7" s="1" t="s">
        <v>20</v>
      </c>
      <c r="B7" s="16">
        <v>240110</v>
      </c>
      <c r="C7" s="1">
        <v>33</v>
      </c>
      <c r="D7" s="13"/>
      <c r="E7" s="1">
        <v>5.4800000000000001E-2</v>
      </c>
      <c r="F7" s="14">
        <f t="shared" si="0"/>
        <v>1.374370080379826E-4</v>
      </c>
      <c r="G7" s="15" t="s">
        <v>20</v>
      </c>
      <c r="H7" s="16">
        <v>808510</v>
      </c>
      <c r="I7" s="1">
        <v>298</v>
      </c>
      <c r="J7" s="15"/>
      <c r="K7" s="1">
        <v>9.2899999999999996E-2</v>
      </c>
    </row>
    <row r="8" spans="1:26" ht="15.75" customHeight="1" x14ac:dyDescent="0.3">
      <c r="A8" s="1" t="s">
        <v>21</v>
      </c>
      <c r="B8" s="16">
        <v>264957</v>
      </c>
      <c r="C8" s="1">
        <v>61</v>
      </c>
      <c r="D8" s="13"/>
      <c r="E8" s="1">
        <v>6.0400000000000002E-2</v>
      </c>
      <c r="F8" s="14">
        <f t="shared" si="0"/>
        <v>2.3022603667764959E-4</v>
      </c>
      <c r="G8" s="15" t="s">
        <v>21</v>
      </c>
      <c r="H8" s="16">
        <v>720161</v>
      </c>
      <c r="I8" s="1">
        <v>561</v>
      </c>
      <c r="J8" s="15"/>
      <c r="K8" s="1">
        <v>8.2799999999999999E-2</v>
      </c>
    </row>
    <row r="9" spans="1:26" ht="15.75" customHeight="1" x14ac:dyDescent="0.3">
      <c r="A9" s="1" t="s">
        <v>22</v>
      </c>
      <c r="B9" s="16">
        <v>287176</v>
      </c>
      <c r="C9" s="1">
        <v>87</v>
      </c>
      <c r="D9" s="13"/>
      <c r="E9" s="1">
        <v>6.5500000000000003E-2</v>
      </c>
      <c r="F9" s="14">
        <f t="shared" si="0"/>
        <v>3.0295010725130231E-4</v>
      </c>
      <c r="G9" s="15" t="s">
        <v>22</v>
      </c>
      <c r="H9" s="16">
        <v>622988</v>
      </c>
      <c r="I9" s="1">
        <v>673</v>
      </c>
      <c r="J9" s="15"/>
      <c r="K9" s="1">
        <v>7.1599999999999997E-2</v>
      </c>
    </row>
    <row r="10" spans="1:26" ht="15.75" customHeight="1" x14ac:dyDescent="0.3">
      <c r="A10" s="1" t="s">
        <v>23</v>
      </c>
      <c r="B10" s="16">
        <v>311111</v>
      </c>
      <c r="C10" s="1">
        <v>98</v>
      </c>
      <c r="D10" s="13"/>
      <c r="E10" s="1">
        <v>7.0900000000000005E-2</v>
      </c>
      <c r="F10" s="14">
        <f t="shared" si="0"/>
        <v>3.1500011250004017E-4</v>
      </c>
      <c r="G10" s="15" t="s">
        <v>23</v>
      </c>
      <c r="H10" s="16">
        <v>733057</v>
      </c>
      <c r="I10" s="1">
        <v>752</v>
      </c>
      <c r="J10" s="15"/>
      <c r="K10" s="1">
        <v>8.43E-2</v>
      </c>
    </row>
    <row r="11" spans="1:26" ht="15.75" customHeight="1" x14ac:dyDescent="0.3">
      <c r="A11" s="1" t="s">
        <v>24</v>
      </c>
      <c r="B11" s="16">
        <v>280991</v>
      </c>
      <c r="C11" s="1">
        <v>140</v>
      </c>
      <c r="D11" s="13"/>
      <c r="E11" s="1">
        <v>6.4100000000000004E-2</v>
      </c>
      <c r="F11" s="14">
        <f t="shared" si="0"/>
        <v>4.9823659832521326E-4</v>
      </c>
      <c r="G11" s="15" t="s">
        <v>24</v>
      </c>
      <c r="H11" s="16">
        <v>732312</v>
      </c>
      <c r="I11" s="1">
        <v>965</v>
      </c>
      <c r="J11" s="15"/>
      <c r="K11" s="1">
        <v>8.4199999999999997E-2</v>
      </c>
    </row>
    <row r="12" spans="1:26" ht="15.75" customHeight="1" x14ac:dyDescent="0.3">
      <c r="A12" s="1" t="s">
        <v>25</v>
      </c>
      <c r="B12" s="16">
        <v>286899</v>
      </c>
      <c r="C12" s="1">
        <v>197</v>
      </c>
      <c r="D12" s="13"/>
      <c r="E12" s="1">
        <v>6.54E-2</v>
      </c>
      <c r="F12" s="14">
        <f t="shared" si="0"/>
        <v>6.866527941888958E-4</v>
      </c>
      <c r="G12" s="15" t="s">
        <v>25</v>
      </c>
      <c r="H12" s="16">
        <v>612825</v>
      </c>
      <c r="I12" s="16">
        <v>1113</v>
      </c>
      <c r="J12" s="15"/>
      <c r="K12" s="1">
        <v>7.0400000000000004E-2</v>
      </c>
    </row>
    <row r="13" spans="1:26" ht="15.75" customHeight="1" x14ac:dyDescent="0.3">
      <c r="A13" s="1" t="s">
        <v>26</v>
      </c>
      <c r="B13" s="16">
        <v>308238</v>
      </c>
      <c r="C13" s="1">
        <v>362</v>
      </c>
      <c r="D13" s="13"/>
      <c r="E13" s="1">
        <v>7.0300000000000001E-2</v>
      </c>
      <c r="F13" s="14">
        <f t="shared" si="0"/>
        <v>1.1744171711469708E-3</v>
      </c>
      <c r="G13" s="15" t="s">
        <v>26</v>
      </c>
      <c r="H13" s="16">
        <v>487996</v>
      </c>
      <c r="I13" s="16">
        <v>1405</v>
      </c>
      <c r="J13" s="15"/>
      <c r="K13" s="1">
        <v>5.6099999999999997E-2</v>
      </c>
    </row>
    <row r="14" spans="1:26" ht="15.75" customHeight="1" x14ac:dyDescent="0.3">
      <c r="A14" s="1" t="s">
        <v>27</v>
      </c>
      <c r="B14" s="16">
        <v>320172</v>
      </c>
      <c r="C14" s="1">
        <v>643</v>
      </c>
      <c r="D14" s="13"/>
      <c r="E14" s="1">
        <v>7.2999999999999995E-2</v>
      </c>
      <c r="F14" s="14">
        <f t="shared" si="0"/>
        <v>2.0082955411466338E-3</v>
      </c>
      <c r="G14" s="15" t="s">
        <v>27</v>
      </c>
      <c r="H14" s="16">
        <v>284799</v>
      </c>
      <c r="I14" s="16">
        <v>1226</v>
      </c>
      <c r="J14" s="15"/>
      <c r="K14" s="1">
        <v>3.27E-2</v>
      </c>
    </row>
    <row r="15" spans="1:26" ht="15.75" customHeight="1" x14ac:dyDescent="0.3">
      <c r="A15" s="1" t="s">
        <v>28</v>
      </c>
      <c r="B15" s="16">
        <v>242230</v>
      </c>
      <c r="C15" s="1">
        <v>738</v>
      </c>
      <c r="D15" s="13"/>
      <c r="E15" s="1">
        <v>5.5199999999999999E-2</v>
      </c>
      <c r="F15" s="14">
        <f t="shared" si="0"/>
        <v>3.0466911612929862E-3</v>
      </c>
      <c r="G15" s="15" t="s">
        <v>28</v>
      </c>
      <c r="H15" s="16">
        <v>503608</v>
      </c>
      <c r="I15" s="16">
        <v>2878</v>
      </c>
      <c r="J15" s="15"/>
      <c r="K15" s="1">
        <v>5.79E-2</v>
      </c>
    </row>
    <row r="16" spans="1:26" ht="15.75" customHeight="1" x14ac:dyDescent="0.3">
      <c r="A16" s="1" t="s">
        <v>29</v>
      </c>
      <c r="B16" s="16">
        <v>210785</v>
      </c>
      <c r="C16" s="1">
        <v>972</v>
      </c>
      <c r="D16" s="13"/>
      <c r="E16" s="1">
        <v>4.8099999999999997E-2</v>
      </c>
      <c r="F16" s="14">
        <f t="shared" si="0"/>
        <v>4.6113338235642953E-3</v>
      </c>
      <c r="G16" s="15" t="s">
        <v>29</v>
      </c>
      <c r="H16" s="16">
        <v>301879</v>
      </c>
      <c r="I16" s="16">
        <v>3266</v>
      </c>
      <c r="J16" s="15"/>
      <c r="K16" s="1">
        <v>3.4700000000000002E-2</v>
      </c>
    </row>
    <row r="17" spans="1:11" ht="15.75" customHeight="1" x14ac:dyDescent="0.3">
      <c r="A17" s="1" t="s">
        <v>30</v>
      </c>
      <c r="B17" s="16">
        <v>216058</v>
      </c>
      <c r="C17" s="16">
        <v>1640</v>
      </c>
      <c r="D17" s="13"/>
      <c r="E17" s="1">
        <v>4.9299999999999997E-2</v>
      </c>
      <c r="F17" s="14">
        <f t="shared" si="0"/>
        <v>7.5905543881735456E-3</v>
      </c>
      <c r="G17" s="15" t="s">
        <v>30</v>
      </c>
      <c r="H17" s="16">
        <v>374317</v>
      </c>
      <c r="I17" s="16">
        <v>5212</v>
      </c>
      <c r="J17" s="15"/>
      <c r="K17" s="1">
        <v>4.2999999999999997E-2</v>
      </c>
    </row>
    <row r="18" spans="1:11" ht="15.75" customHeight="1" x14ac:dyDescent="0.3">
      <c r="A18" s="1" t="s">
        <v>31</v>
      </c>
      <c r="B18" s="16">
        <v>224479</v>
      </c>
      <c r="C18" s="16">
        <v>2752</v>
      </c>
      <c r="D18" s="13"/>
      <c r="E18" s="1">
        <v>5.1200000000000002E-2</v>
      </c>
      <c r="F18" s="14">
        <f t="shared" si="0"/>
        <v>1.2259498661344714E-2</v>
      </c>
      <c r="G18" s="15" t="s">
        <v>31</v>
      </c>
      <c r="H18" s="16">
        <v>256247</v>
      </c>
      <c r="I18" s="16">
        <v>6866</v>
      </c>
      <c r="J18" s="15"/>
      <c r="K18" s="1">
        <v>2.9499999999999998E-2</v>
      </c>
    </row>
    <row r="19" spans="1:11" ht="15.75" customHeight="1" x14ac:dyDescent="0.3">
      <c r="A19" s="1" t="s">
        <v>32</v>
      </c>
      <c r="B19" s="16">
        <v>222578</v>
      </c>
      <c r="C19" s="16">
        <v>4509</v>
      </c>
      <c r="D19" s="13"/>
      <c r="E19" s="1">
        <v>5.0799999999999998E-2</v>
      </c>
      <c r="F19" s="14">
        <f t="shared" si="0"/>
        <v>2.025806683499717E-2</v>
      </c>
      <c r="G19" s="15" t="s">
        <v>32</v>
      </c>
      <c r="H19" s="16">
        <v>154623</v>
      </c>
      <c r="I19" s="16">
        <v>6182</v>
      </c>
      <c r="J19" s="15"/>
      <c r="K19" s="1">
        <v>1.78E-2</v>
      </c>
    </row>
    <row r="20" spans="1:11" ht="15.75" customHeight="1" x14ac:dyDescent="0.3">
      <c r="A20" s="1" t="s">
        <v>33</v>
      </c>
      <c r="B20" s="16">
        <v>184102</v>
      </c>
      <c r="C20" s="16">
        <v>6745</v>
      </c>
      <c r="D20" s="13"/>
      <c r="E20" s="1">
        <v>4.2000000000000003E-2</v>
      </c>
      <c r="F20" s="14">
        <f t="shared" si="0"/>
        <v>3.6637298888659547E-2</v>
      </c>
      <c r="G20" s="15" t="s">
        <v>33</v>
      </c>
      <c r="H20" s="16">
        <v>149917</v>
      </c>
      <c r="I20" s="16">
        <v>8199</v>
      </c>
      <c r="J20" s="15"/>
      <c r="K20" s="1">
        <v>1.72E-2</v>
      </c>
    </row>
    <row r="21" spans="1:11" ht="15.75" customHeight="1" x14ac:dyDescent="0.3">
      <c r="A21" s="1" t="s">
        <v>34</v>
      </c>
      <c r="B21" s="16">
        <v>140667</v>
      </c>
      <c r="C21" s="16">
        <v>9587</v>
      </c>
      <c r="D21" s="13"/>
      <c r="E21" s="1">
        <v>3.2099999999999997E-2</v>
      </c>
      <c r="F21" s="14">
        <f t="shared" si="0"/>
        <v>6.8153866933964607E-2</v>
      </c>
      <c r="G21" s="15" t="s">
        <v>34</v>
      </c>
      <c r="H21" s="16">
        <v>88716</v>
      </c>
      <c r="I21" s="16">
        <v>9013</v>
      </c>
      <c r="J21" s="15"/>
      <c r="K21" s="1">
        <v>1.0200000000000001E-2</v>
      </c>
    </row>
    <row r="22" spans="1:11" ht="15.75" customHeight="1" x14ac:dyDescent="0.3">
      <c r="A22" s="1" t="s">
        <v>35</v>
      </c>
      <c r="B22" s="16">
        <v>110242</v>
      </c>
      <c r="C22" s="16">
        <v>17340</v>
      </c>
      <c r="D22" s="13"/>
      <c r="E22" s="1">
        <v>2.5100000000000001E-2</v>
      </c>
      <c r="F22" s="14">
        <f t="shared" si="0"/>
        <v>0.15729032492153625</v>
      </c>
      <c r="G22" s="15" t="s">
        <v>35</v>
      </c>
      <c r="H22" s="16">
        <v>58940</v>
      </c>
      <c r="I22" s="16">
        <v>10627</v>
      </c>
      <c r="J22" s="15"/>
      <c r="K22" s="1">
        <v>6.7999999999999996E-3</v>
      </c>
    </row>
    <row r="23" spans="1:11" ht="15.75" customHeight="1" x14ac:dyDescent="0.3">
      <c r="A23" s="1" t="s">
        <v>36</v>
      </c>
      <c r="B23" s="16">
        <v>4385469</v>
      </c>
      <c r="C23" s="16">
        <v>46256</v>
      </c>
      <c r="E23" s="1">
        <v>1</v>
      </c>
      <c r="F23" s="17"/>
      <c r="G23" s="1" t="s">
        <v>36</v>
      </c>
      <c r="H23" s="16">
        <v>8698860</v>
      </c>
      <c r="I23" s="16">
        <v>64572</v>
      </c>
      <c r="K23" s="1">
        <v>1</v>
      </c>
    </row>
    <row r="25" spans="1:11" ht="15.75" customHeight="1" x14ac:dyDescent="0.3">
      <c r="A25" s="1" t="s">
        <v>37</v>
      </c>
      <c r="G25" s="1" t="s">
        <v>38</v>
      </c>
    </row>
    <row r="27" spans="1:11" ht="15.75" customHeight="1" x14ac:dyDescent="0.3">
      <c r="B27" s="1" t="s">
        <v>39</v>
      </c>
      <c r="C27" s="18" t="s">
        <v>40</v>
      </c>
      <c r="H27" s="1" t="s">
        <v>41</v>
      </c>
      <c r="I27" s="1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4"/>
  <sheetViews>
    <sheetView tabSelected="1" workbookViewId="0">
      <selection activeCell="I15" sqref="I15"/>
    </sheetView>
  </sheetViews>
  <sheetFormatPr defaultColWidth="12.61328125" defaultRowHeight="15.75" customHeight="1" x14ac:dyDescent="0.3"/>
  <sheetData>
    <row r="1" spans="1:26" ht="15.75" customHeight="1" x14ac:dyDescent="0.3">
      <c r="A1" s="30" t="s">
        <v>42</v>
      </c>
      <c r="B1" s="31"/>
      <c r="C1" s="31"/>
      <c r="D1" s="31"/>
      <c r="F1" s="30" t="s">
        <v>43</v>
      </c>
      <c r="G1" s="31"/>
      <c r="H1" s="31"/>
      <c r="I1" s="31"/>
    </row>
    <row r="2" spans="1:26" ht="43.3" customHeight="1" x14ac:dyDescent="0.3">
      <c r="A2" s="10" t="s">
        <v>44</v>
      </c>
      <c r="B2" s="19" t="s">
        <v>45</v>
      </c>
      <c r="C2" s="19" t="s">
        <v>46</v>
      </c>
      <c r="D2" s="20" t="s">
        <v>47</v>
      </c>
      <c r="E2" s="10"/>
      <c r="F2" s="10" t="s">
        <v>44</v>
      </c>
      <c r="G2" s="10" t="s">
        <v>45</v>
      </c>
      <c r="H2" s="10" t="s">
        <v>46</v>
      </c>
      <c r="I2" s="21" t="s">
        <v>47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3">
      <c r="A3" s="1" t="s">
        <v>48</v>
      </c>
      <c r="B3" s="16">
        <v>16700</v>
      </c>
      <c r="C3" s="16">
        <v>7498</v>
      </c>
      <c r="D3" s="22"/>
      <c r="F3" s="1" t="s">
        <v>48</v>
      </c>
      <c r="G3" s="32">
        <v>1529</v>
      </c>
      <c r="H3" s="16">
        <v>3397</v>
      </c>
      <c r="I3" s="23"/>
    </row>
    <row r="4" spans="1:26" ht="15.75" customHeight="1" x14ac:dyDescent="0.3">
      <c r="A4" s="1" t="s">
        <v>49</v>
      </c>
      <c r="B4" s="16">
        <v>11900</v>
      </c>
      <c r="C4" s="16">
        <v>3219</v>
      </c>
      <c r="D4" s="22"/>
      <c r="F4" s="1" t="s">
        <v>49</v>
      </c>
      <c r="G4" s="32">
        <v>8340</v>
      </c>
      <c r="H4" s="16">
        <v>3475</v>
      </c>
      <c r="I4" s="23"/>
    </row>
    <row r="5" spans="1:26" ht="15.75" customHeight="1" x14ac:dyDescent="0.3">
      <c r="A5" s="1" t="s">
        <v>50</v>
      </c>
      <c r="B5" s="16">
        <v>36100</v>
      </c>
      <c r="C5" s="1">
        <v>742</v>
      </c>
      <c r="D5" s="22"/>
      <c r="F5" s="1" t="s">
        <v>50</v>
      </c>
      <c r="G5" s="16">
        <v>82500</v>
      </c>
      <c r="H5" s="16">
        <v>1945</v>
      </c>
      <c r="I5" s="23"/>
    </row>
    <row r="6" spans="1:26" ht="15.75" customHeight="1" x14ac:dyDescent="0.3">
      <c r="A6" s="7" t="s">
        <v>36</v>
      </c>
      <c r="B6" s="12">
        <v>64700</v>
      </c>
      <c r="C6" s="12">
        <v>11459</v>
      </c>
      <c r="D6" s="24"/>
      <c r="F6" s="7" t="s">
        <v>36</v>
      </c>
      <c r="G6" s="12">
        <v>92359</v>
      </c>
      <c r="H6" s="12">
        <v>8817</v>
      </c>
      <c r="I6" s="25"/>
    </row>
    <row r="8" spans="1:26" ht="15.75" customHeight="1" x14ac:dyDescent="0.3">
      <c r="A8" s="1" t="s">
        <v>51</v>
      </c>
      <c r="E8" s="7" t="s">
        <v>52</v>
      </c>
    </row>
    <row r="9" spans="1:26" ht="15.75" customHeight="1" x14ac:dyDescent="0.3">
      <c r="A9" s="1" t="s">
        <v>53</v>
      </c>
      <c r="B9" s="1" t="s">
        <v>3</v>
      </c>
      <c r="D9" s="1" t="s">
        <v>44</v>
      </c>
      <c r="E9" s="1" t="s">
        <v>54</v>
      </c>
      <c r="F9" s="1" t="s">
        <v>55</v>
      </c>
      <c r="G9" s="1" t="s">
        <v>56</v>
      </c>
    </row>
    <row r="10" spans="1:26" ht="15.75" customHeight="1" x14ac:dyDescent="0.3">
      <c r="A10" s="1" t="s">
        <v>48</v>
      </c>
      <c r="B10" s="16">
        <v>56000</v>
      </c>
      <c r="D10" s="1" t="s">
        <v>48</v>
      </c>
      <c r="E10" s="7">
        <v>0.45</v>
      </c>
      <c r="F10" s="16">
        <v>56000</v>
      </c>
      <c r="G10" s="26"/>
      <c r="K10" s="16"/>
    </row>
    <row r="11" spans="1:26" ht="15.75" customHeight="1" x14ac:dyDescent="0.3">
      <c r="A11" s="1" t="s">
        <v>49</v>
      </c>
      <c r="B11" s="16">
        <v>33000</v>
      </c>
      <c r="D11" s="1" t="s">
        <v>49</v>
      </c>
      <c r="E11" s="7">
        <v>2.4</v>
      </c>
      <c r="F11" s="16">
        <v>33000</v>
      </c>
      <c r="G11" s="26"/>
      <c r="K11" s="16"/>
    </row>
    <row r="12" spans="1:26" ht="15.75" customHeight="1" x14ac:dyDescent="0.3">
      <c r="A12" s="1" t="s">
        <v>50</v>
      </c>
      <c r="B12" s="16">
        <v>11000</v>
      </c>
      <c r="D12" s="1" t="s">
        <v>50</v>
      </c>
      <c r="E12" s="7">
        <v>42.4</v>
      </c>
      <c r="F12" s="16">
        <v>11000</v>
      </c>
      <c r="G12" s="26"/>
      <c r="K12" s="16"/>
    </row>
    <row r="13" spans="1:26" ht="15.75" customHeight="1" x14ac:dyDescent="0.3">
      <c r="A13" s="1" t="s">
        <v>57</v>
      </c>
      <c r="B13" s="16">
        <v>100000</v>
      </c>
      <c r="E13" s="1" t="s">
        <v>58</v>
      </c>
      <c r="F13" s="12">
        <f>SUM(F10:F12)</f>
        <v>100000</v>
      </c>
      <c r="G13" s="27"/>
      <c r="K13" s="16"/>
    </row>
    <row r="14" spans="1:26" ht="15.75" customHeight="1" x14ac:dyDescent="0.3">
      <c r="G14" s="23"/>
    </row>
    <row r="15" spans="1:26" ht="15.75" customHeight="1" x14ac:dyDescent="0.3">
      <c r="F15" s="7" t="s">
        <v>59</v>
      </c>
      <c r="G15" s="25" t="s">
        <v>40</v>
      </c>
    </row>
    <row r="17" spans="4:7" ht="15.75" customHeight="1" x14ac:dyDescent="0.3">
      <c r="D17" s="1" t="s">
        <v>42</v>
      </c>
    </row>
    <row r="18" spans="4:7" ht="15.75" customHeight="1" x14ac:dyDescent="0.3">
      <c r="D18" s="1" t="s">
        <v>44</v>
      </c>
      <c r="E18" s="1" t="s">
        <v>47</v>
      </c>
      <c r="F18" s="1" t="s">
        <v>55</v>
      </c>
      <c r="G18" s="1" t="s">
        <v>56</v>
      </c>
    </row>
    <row r="19" spans="4:7" ht="15.75" customHeight="1" x14ac:dyDescent="0.3">
      <c r="D19" s="1" t="s">
        <v>48</v>
      </c>
      <c r="E19" s="28">
        <v>2.2272606028274207</v>
      </c>
      <c r="F19" s="16">
        <v>56000</v>
      </c>
      <c r="G19" s="4"/>
    </row>
    <row r="20" spans="4:7" ht="15.75" customHeight="1" x14ac:dyDescent="0.3">
      <c r="D20" s="1" t="s">
        <v>49</v>
      </c>
      <c r="E20" s="28">
        <v>3.6968002485243865</v>
      </c>
      <c r="F20" s="16">
        <v>33000</v>
      </c>
      <c r="G20" s="4"/>
    </row>
    <row r="21" spans="4:7" ht="15.75" customHeight="1" x14ac:dyDescent="0.3">
      <c r="D21" s="1" t="s">
        <v>50</v>
      </c>
      <c r="E21" s="28">
        <v>48.652291105121293</v>
      </c>
      <c r="F21" s="16">
        <v>11000</v>
      </c>
      <c r="G21" s="4"/>
    </row>
    <row r="22" spans="4:7" ht="15.75" customHeight="1" x14ac:dyDescent="0.3">
      <c r="E22" s="28" t="s">
        <v>58</v>
      </c>
      <c r="F22" s="12">
        <f>SUM(F19:F21)</f>
        <v>100000</v>
      </c>
      <c r="G22" s="5"/>
    </row>
    <row r="23" spans="4:7" ht="15.75" customHeight="1" x14ac:dyDescent="0.3">
      <c r="G23" s="15"/>
    </row>
    <row r="24" spans="4:7" ht="15.75" customHeight="1" x14ac:dyDescent="0.3">
      <c r="F24" s="7" t="s">
        <v>60</v>
      </c>
      <c r="G24" s="29" t="s">
        <v>40</v>
      </c>
    </row>
  </sheetData>
  <mergeCells count="2">
    <mergeCell ref="A1:D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 growth</vt:lpstr>
      <vt:lpstr>Sw-Kz</vt:lpstr>
      <vt:lpstr>age standardization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Shivakumar Jolad</cp:lastModifiedBy>
  <dcterms:modified xsi:type="dcterms:W3CDTF">2026-02-13T12:27:28Z</dcterms:modified>
</cp:coreProperties>
</file>