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ons\Dropbox\FLAME\Courses\DemographyCourse\IntroDemogography-UG2\PUBP233-IntroDemog_2024\DataSheets\"/>
    </mc:Choice>
  </mc:AlternateContent>
  <xr:revisionPtr revIDLastSave="0" documentId="13_ncr:1_{E524C690-34BE-4C6E-8977-D7871D13B8B6}" xr6:coauthVersionLast="47" xr6:coauthVersionMax="47" xr10:uidLastSave="{00000000-0000-0000-0000-000000000000}"/>
  <bookViews>
    <workbookView xWindow="-103" yWindow="-103" windowWidth="22149" windowHeight="13200" activeTab="3" xr2:uid="{7E13B8CC-E926-42E0-B421-A393979692A0}"/>
  </bookViews>
  <sheets>
    <sheet name="India-Pop-2011" sheetId="1" r:id="rId1"/>
    <sheet name="UK-Pop-2010" sheetId="2" r:id="rId2"/>
    <sheet name="Sheet3" sheetId="3" r:id="rId3"/>
    <sheet name="Sheet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4" i="4" l="1"/>
  <c r="T22" i="4"/>
  <c r="S22" i="4"/>
  <c r="T15" i="4"/>
  <c r="S13" i="4"/>
  <c r="T13" i="4"/>
  <c r="T11" i="4"/>
  <c r="T12" i="4"/>
  <c r="T10" i="4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" i="2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" i="3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" i="2"/>
  <c r="C7" i="2"/>
  <c r="C8" i="2"/>
  <c r="C9" i="2"/>
  <c r="C10" i="2"/>
  <c r="C11" i="2"/>
  <c r="C12" i="2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6" i="2"/>
  <c r="C5" i="2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4" i="1"/>
  <c r="J6" i="1"/>
  <c r="J7" i="1"/>
  <c r="J8" i="1"/>
  <c r="J9" i="1"/>
  <c r="J10" i="1"/>
  <c r="J11" i="1"/>
  <c r="J12" i="1"/>
  <c r="J13" i="1"/>
  <c r="J14" i="1" s="1"/>
  <c r="J15" i="1" s="1"/>
  <c r="J16" i="1" s="1"/>
  <c r="J17" i="1" s="1"/>
  <c r="J18" i="1" s="1"/>
  <c r="J19" i="1" s="1"/>
  <c r="J20" i="1" s="1"/>
  <c r="J21" i="1" s="1"/>
  <c r="J5" i="1"/>
  <c r="J4" i="1"/>
  <c r="I6" i="1"/>
  <c r="I7" i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5" i="1"/>
  <c r="I4" i="1"/>
  <c r="H34" i="1"/>
  <c r="H33" i="1"/>
  <c r="H32" i="1"/>
  <c r="H28" i="1"/>
  <c r="H30" i="1"/>
  <c r="H29" i="1"/>
  <c r="G4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3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3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4" i="1"/>
  <c r="C24" i="1"/>
  <c r="D24" i="1"/>
  <c r="B24" i="1"/>
  <c r="D23" i="1" l="1"/>
  <c r="F23" i="1" s="1"/>
  <c r="C23" i="1"/>
  <c r="B23" i="1"/>
  <c r="E23" i="1" l="1"/>
</calcChain>
</file>

<file path=xl/sharedStrings.xml><?xml version="1.0" encoding="utf-8"?>
<sst xmlns="http://schemas.openxmlformats.org/spreadsheetml/2006/main" count="197" uniqueCount="95">
  <si>
    <t>Census 2011</t>
  </si>
  <si>
    <t>All India</t>
  </si>
  <si>
    <t>Age group</t>
  </si>
  <si>
    <t>Persons</t>
  </si>
  <si>
    <t>Males</t>
  </si>
  <si>
    <t>Females</t>
  </si>
  <si>
    <t>Sex ratio (M/F*100)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</si>
  <si>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</si>
  <si>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</si>
  <si>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</si>
  <si>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</si>
  <si>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</si>
  <si>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</si>
  <si>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</si>
  <si>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</si>
  <si>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</si>
  <si>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</si>
  <si>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</si>
  <si>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</si>
  <si>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</si>
  <si>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</si>
  <si>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</si>
  <si>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</si>
  <si>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</si>
  <si>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85+</t>
  </si>
  <si>
    <t>SRB (ideal)</t>
  </si>
  <si>
    <t xml:space="preserve">Questions </t>
  </si>
  <si>
    <t>Calculate the sex ratio of Populatiion (Female/Males (per thousand)</t>
  </si>
  <si>
    <t>Calculate Male to Female sex ratio in each age group - per 100 (M/F*100)</t>
  </si>
  <si>
    <t>Create a population Pyramid of India - describe the characteristics ; Highlight peak</t>
  </si>
  <si>
    <t>Mean age of Population, Median age of population (do by sex- is there a gender difference?)</t>
  </si>
  <si>
    <t>Child dependency ratio : 0-14 / 15-65</t>
  </si>
  <si>
    <t>Old age dependency ratio : 65+ yrs/ 15-64 years</t>
  </si>
  <si>
    <t>Age Interval</t>
  </si>
  <si>
    <t>Age (start)</t>
  </si>
  <si>
    <t>Total</t>
  </si>
  <si>
    <t>Deaths_Female</t>
  </si>
  <si>
    <t>Deaths_Male</t>
  </si>
  <si>
    <t>Deaths_Total</t>
  </si>
  <si>
    <t>[0-1)</t>
  </si>
  <si>
    <t>[10-14]</t>
  </si>
  <si>
    <t>85-89</t>
  </si>
  <si>
    <t>90-94</t>
  </si>
  <si>
    <t>95-99</t>
  </si>
  <si>
    <t>100-104</t>
  </si>
  <si>
    <t>105-109</t>
  </si>
  <si>
    <t>110+</t>
  </si>
  <si>
    <t>Sex ratio-Pop (F/M*1000)</t>
  </si>
  <si>
    <t>Cumulative -Male</t>
  </si>
  <si>
    <t>Cumulative -FeMale</t>
  </si>
  <si>
    <t>Per-Male</t>
  </si>
  <si>
    <t>Per-Female</t>
  </si>
  <si>
    <t>105 Male/ 100 Females</t>
  </si>
  <si>
    <t>Child Pop</t>
  </si>
  <si>
    <t>Working age</t>
  </si>
  <si>
    <t>Old age</t>
  </si>
  <si>
    <t>C-Dep- ratio</t>
  </si>
  <si>
    <t>Old-age-Dep-Ratio</t>
  </si>
  <si>
    <t>Total - age-ratio</t>
  </si>
  <si>
    <t>Cumulative-Total</t>
  </si>
  <si>
    <t>Female- Pop Mid Year</t>
  </si>
  <si>
    <t>Total Pop- Mid Year</t>
  </si>
  <si>
    <t>CDR-Male</t>
  </si>
  <si>
    <t>CDR-Total</t>
  </si>
  <si>
    <t>CDR-Female -per thousand</t>
  </si>
  <si>
    <t>Age-Mid</t>
  </si>
  <si>
    <t>[1-4)</t>
  </si>
  <si>
    <t>[5-9)</t>
  </si>
  <si>
    <t>[10-14)</t>
  </si>
  <si>
    <t>Male-Pop Mid year</t>
  </si>
  <si>
    <t>Male to Female-CDR</t>
  </si>
  <si>
    <t>Age</t>
  </si>
  <si>
    <t>Total Population</t>
  </si>
  <si>
    <t>Male Population</t>
  </si>
  <si>
    <t>Female Population</t>
  </si>
  <si>
    <t>100+</t>
  </si>
  <si>
    <t>5-9 yrs</t>
  </si>
  <si>
    <t>10-14 yrs</t>
  </si>
  <si>
    <t>ECUADOR</t>
  </si>
  <si>
    <t>Age (Years)</t>
  </si>
  <si>
    <t>No. of deaths</t>
  </si>
  <si>
    <t>Population (1,000’s)</t>
  </si>
  <si>
    <t>Rate (per 1000 pyrs)</t>
  </si>
  <si>
    <t>0-29</t>
  </si>
  <si>
    <t>30-59</t>
  </si>
  <si>
    <t>  </t>
  </si>
  <si>
    <t>60+</t>
  </si>
  <si>
    <t>All ages</t>
  </si>
  <si>
    <t>SWEDEN</t>
  </si>
  <si>
    <t>Mortality Rate for Sweden (per 1000 pyrs)</t>
  </si>
  <si>
    <t>Expected No. of Deaths</t>
  </si>
  <si>
    <t>Ratio</t>
  </si>
  <si>
    <t>Standard Population (in 1000)</t>
  </si>
  <si>
    <t>CDR (per 1000)</t>
  </si>
  <si>
    <t>Mortality Rate for Ecuador (per 1000 pyrs)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</si>
</sst>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_);_(* \(#,##0\);_(* &quot;-&quot;??_);_(@_)"/>
    <numFmt numFmtId="165" formatCode="0.000"/>
    <numFmt numFmtId="166" formatCode="_ * #,##0_ ;_ * \-#,##0_ ;_ * &quot;-&quot;??_ ;_ @_ "/>
    <numFmt numFmtId="167" formatCode="0.0"/>
    <numFmt numFmtId="168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name val="Arial"/>
      <family val="2"/>
    </font>
    <font>
      <sz val="14"/>
      <color rgb="FF000000"/>
      <name val="Tw Cen MT"/>
      <family val="2"/>
    </font>
    <font>
      <b/>
      <sz val="14"/>
      <color rgb="FF000000"/>
      <name val="Tw Cen MT"/>
      <family val="2"/>
    </font>
    <font>
      <b/>
      <sz val="10"/>
      <color rgb="FF000000"/>
      <name val="Tw Cen MT"/>
      <family val="2"/>
    </font>
    <font>
      <sz val="10"/>
      <color rgb="FF000000"/>
      <name val="Tw Cen MT"/>
      <family val="2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7F1FA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5F5F5"/>
        <bgColor indexed="64"/>
      </patternFill>
    </fill>
  </fills>
  <borders count="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0" fontId="3" fillId="0" borderId="0" xfId="0" applyFont="1"/>
    <xf numFmtId="2" fontId="0" fillId="2" borderId="0" xfId="0" applyNumberFormat="1" applyFill="1"/>
    <xf numFmtId="165" fontId="0" fillId="0" borderId="0" xfId="0" applyNumberFormat="1"/>
    <xf numFmtId="0" fontId="5" fillId="3" borderId="1" xfId="0" applyFont="1" applyFill="1" applyBorder="1" applyAlignment="1">
      <alignment horizontal="left" wrapText="1" readingOrder="1"/>
    </xf>
    <xf numFmtId="0" fontId="5" fillId="3" borderId="1" xfId="0" applyFont="1" applyFill="1" applyBorder="1" applyAlignment="1">
      <alignment horizontal="right" wrapText="1" readingOrder="1"/>
    </xf>
    <xf numFmtId="0" fontId="4" fillId="3" borderId="1" xfId="0" applyFont="1" applyFill="1" applyBorder="1" applyAlignment="1">
      <alignment wrapText="1"/>
    </xf>
    <xf numFmtId="0" fontId="6" fillId="3" borderId="1" xfId="0" applyFont="1" applyFill="1" applyBorder="1" applyAlignment="1">
      <alignment horizontal="left" wrapText="1" readingOrder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166" fontId="0" fillId="0" borderId="0" xfId="1" applyNumberFormat="1" applyFont="1"/>
    <xf numFmtId="166" fontId="3" fillId="0" borderId="0" xfId="1" applyNumberFormat="1" applyFont="1"/>
    <xf numFmtId="2" fontId="0" fillId="0" borderId="0" xfId="0" applyNumberFormat="1"/>
    <xf numFmtId="167" fontId="0" fillId="0" borderId="0" xfId="0" applyNumberFormat="1"/>
    <xf numFmtId="2" fontId="2" fillId="2" borderId="0" xfId="0" applyNumberFormat="1" applyFont="1" applyFill="1"/>
    <xf numFmtId="1" fontId="2" fillId="0" borderId="0" xfId="0" applyNumberFormat="1" applyFont="1"/>
    <xf numFmtId="2" fontId="2" fillId="0" borderId="0" xfId="0" applyNumberFormat="1" applyFont="1"/>
    <xf numFmtId="166" fontId="0" fillId="0" borderId="0" xfId="0" applyNumberFormat="1"/>
    <xf numFmtId="166" fontId="2" fillId="0" borderId="0" xfId="0" applyNumberFormat="1" applyFont="1"/>
    <xf numFmtId="166" fontId="2" fillId="4" borderId="0" xfId="0" applyNumberFormat="1" applyFont="1" applyFill="1"/>
    <xf numFmtId="164" fontId="0" fillId="4" borderId="0" xfId="1" applyNumberFormat="1" applyFont="1" applyFill="1"/>
    <xf numFmtId="0" fontId="6" fillId="3" borderId="1" xfId="0" applyFont="1" applyFill="1" applyBorder="1" applyAlignment="1">
      <alignment horizontal="left" readingOrder="1"/>
    </xf>
    <xf numFmtId="0" fontId="6" fillId="3" borderId="2" xfId="0" applyFont="1" applyFill="1" applyBorder="1" applyAlignment="1">
      <alignment horizontal="left" wrapText="1" readingOrder="1"/>
    </xf>
    <xf numFmtId="0" fontId="6" fillId="3" borderId="2" xfId="0" applyFont="1" applyFill="1" applyBorder="1" applyAlignment="1">
      <alignment horizontal="left" readingOrder="1"/>
    </xf>
    <xf numFmtId="168" fontId="0" fillId="0" borderId="0" xfId="0" applyNumberFormat="1"/>
    <xf numFmtId="0" fontId="7" fillId="5" borderId="3" xfId="0" applyFont="1" applyFill="1" applyBorder="1" applyAlignment="1">
      <alignment horizontal="center" vertical="center" wrapText="1" readingOrder="1"/>
    </xf>
    <xf numFmtId="0" fontId="7" fillId="0" borderId="3" xfId="0" applyFont="1" applyBorder="1" applyAlignment="1">
      <alignment horizontal="center" vertical="center" wrapText="1" readingOrder="1"/>
    </xf>
    <xf numFmtId="0" fontId="8" fillId="0" borderId="3" xfId="0" applyFont="1" applyBorder="1" applyAlignment="1">
      <alignment horizontal="center" vertical="center" wrapText="1" readingOrder="1"/>
    </xf>
    <xf numFmtId="16" fontId="7" fillId="0" borderId="3" xfId="0" applyNumberFormat="1" applyFont="1" applyBorder="1" applyAlignment="1">
      <alignment horizontal="center" vertical="center" wrapText="1" readingOrder="1"/>
    </xf>
    <xf numFmtId="17" fontId="7" fillId="0" borderId="3" xfId="0" applyNumberFormat="1" applyFont="1" applyBorder="1" applyAlignment="1">
      <alignment horizontal="center" vertical="center" wrapText="1" readingOrder="1"/>
    </xf>
    <xf numFmtId="168" fontId="2" fillId="0" borderId="0" xfId="0" applyNumberFormat="1" applyFont="1"/>
    <xf numFmtId="165" fontId="2" fillId="0" borderId="0" xfId="0" applyNumberFormat="1" applyFont="1"/>
    <xf numFmtId="0" fontId="9" fillId="5" borderId="4" xfId="0" applyFont="1" applyFill="1" applyBorder="1" applyAlignment="1">
      <alignment horizontal="center" vertical="center" wrapText="1" readingOrder="1"/>
    </xf>
    <xf numFmtId="0" fontId="9" fillId="5" borderId="5" xfId="0" applyFont="1" applyFill="1" applyBorder="1" applyAlignment="1">
      <alignment horizontal="center" vertical="center" wrapText="1" readingOrder="1"/>
    </xf>
    <xf numFmtId="0" fontId="9" fillId="5" borderId="6" xfId="0" applyFont="1" applyFill="1" applyBorder="1" applyAlignment="1">
      <alignment horizontal="center" vertical="center" wrapText="1" readingOrder="1"/>
    </xf>
    <xf numFmtId="0" fontId="9" fillId="5" borderId="3" xfId="0" applyFont="1" applyFill="1" applyBorder="1" applyAlignment="1">
      <alignment horizontal="center" vertical="center" wrapText="1" readingOrder="1"/>
    </xf>
    <xf numFmtId="0" fontId="9" fillId="0" borderId="3" xfId="0" applyFont="1" applyBorder="1" applyAlignment="1">
      <alignment horizontal="center" vertical="center" wrapText="1" readingOrder="1"/>
    </xf>
    <xf numFmtId="3" fontId="9" fillId="0" borderId="3" xfId="0" applyNumberFormat="1" applyFont="1" applyBorder="1" applyAlignment="1">
      <alignment horizontal="center" vertical="center" wrapText="1" readingOrder="1"/>
    </xf>
    <xf numFmtId="3" fontId="9" fillId="5" borderId="3" xfId="0" applyNumberFormat="1" applyFont="1" applyFill="1" applyBorder="1" applyAlignment="1">
      <alignment horizontal="center" vertical="center" wrapText="1" readingOrder="1"/>
    </xf>
    <xf numFmtId="0" fontId="10" fillId="5" borderId="3" xfId="0" applyFont="1" applyFill="1" applyBorder="1" applyAlignment="1">
      <alignment horizontal="center" vertical="center" wrapText="1" readingOrder="1"/>
    </xf>
    <xf numFmtId="0" fontId="6" fillId="3" borderId="1" xfId="0" applyFont="1" applyFill="1" applyBorder="1" applyAlignment="1">
      <alignment horizontal="right" wrapText="1" readingOrder="1"/>
    </xf>
    <xf numFmtId="3" fontId="2" fillId="0" borderId="0" xfId="0" applyNumberFormat="1" applyFont="1"/>
    <xf numFmtId="0" fontId="0" fillId="2" borderId="0" xfId="0" applyFill="1"/>
    <xf numFmtId="0" fontId="2" fillId="2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629EA-F21F-4163-9DD3-57C543C3FCE2}">
  <dimension ref="A1:K34"/>
  <sheetViews>
    <sheetView workbookViewId="0">
      <selection activeCell="L8" sqref="L8"/>
    </sheetView>
  </sheetViews>
  <sheetFormatPr defaultRowHeight="14.6" x14ac:dyDescent="0.4"/>
  <cols>
    <col min="1" max="1" width="18.69140625" customWidth="1"/>
    <col min="2" max="2" width="16.3828125" customWidth="1"/>
    <col min="3" max="3" width="13.61328125" customWidth="1"/>
    <col min="4" max="4" width="15.3828125" customWidth="1"/>
    <col min="5" max="5" width="14.23046875" customWidth="1"/>
    <col min="6" max="8" width="17.23046875" customWidth="1"/>
    <col min="9" max="9" width="15.61328125" customWidth="1"/>
    <col min="10" max="10" width="12.84375" customWidth="1"/>
    <col min="11" max="11" width="16.07421875" customWidth="1"/>
  </cols>
  <sheetData>
    <row r="1" spans="1:11" x14ac:dyDescent="0.4">
      <c r="A1" s="1" t="s">
        <v>0</v>
      </c>
    </row>
    <row r="2" spans="1:11" x14ac:dyDescent="0.4">
      <c r="A2">
        <v>2011</v>
      </c>
      <c r="B2" t="s">
        <v>1</v>
      </c>
    </row>
    <row r="3" spans="1:11" s="10" customFormat="1" ht="31.75" x14ac:dyDescent="0.45">
      <c r="A3" s="9" t="s">
        <v>2</v>
      </c>
      <c r="B3" s="11" t="s">
        <v>3</v>
      </c>
      <c r="C3" s="9" t="s">
        <v>4</v>
      </c>
      <c r="D3" s="9" t="s">
        <v>5</v>
      </c>
      <c r="E3" s="9" t="s">
        <v>6</v>
      </c>
      <c r="F3" s="9" t="s">
        <v>47</v>
      </c>
      <c r="G3" s="11" t="s">
        <v>50</v>
      </c>
      <c r="H3" s="11" t="s">
        <v>51</v>
      </c>
      <c r="I3" s="10" t="s">
        <v>48</v>
      </c>
      <c r="J3" s="10" t="s">
        <v>49</v>
      </c>
      <c r="K3" s="10" t="s">
        <v>59</v>
      </c>
    </row>
    <row r="4" spans="1:11" ht="15.9" x14ac:dyDescent="0.45">
      <c r="A4" s="2" t="s">
        <v>7</v>
      </c>
      <c r="B4" s="12">
        <v>112806778</v>
      </c>
      <c r="C4" s="13">
        <v>58632074</v>
      </c>
      <c r="D4" s="13">
        <v>54174704</v>
      </c>
      <c r="E4" s="3">
        <f>C4/D4*100</f>
        <v>108.22776992007192</v>
      </c>
      <c r="F4" s="14">
        <f>D4/C4*1000</f>
        <v>923.9772756460909</v>
      </c>
      <c r="G4" s="14">
        <f>C4/$B$23*100</f>
        <v>4.8602260090938048</v>
      </c>
      <c r="H4" s="14">
        <f>D4/$B$23*100</f>
        <v>4.4907383869067674</v>
      </c>
      <c r="I4" s="19">
        <f>C4</f>
        <v>58632074</v>
      </c>
      <c r="J4" s="19">
        <f>D4</f>
        <v>54174704</v>
      </c>
      <c r="K4" s="19">
        <f>SUM(I4:J4)</f>
        <v>112806778</v>
      </c>
    </row>
    <row r="5" spans="1:11" ht="15.9" x14ac:dyDescent="0.45">
      <c r="A5" s="2" t="s">
        <v>8</v>
      </c>
      <c r="B5" s="12">
        <v>126928126</v>
      </c>
      <c r="C5" s="13">
        <v>66300466</v>
      </c>
      <c r="D5" s="13">
        <v>60627660</v>
      </c>
      <c r="E5" s="3">
        <f t="shared" ref="E5:E21" si="0">C5/D5*100</f>
        <v>109.35679523174736</v>
      </c>
      <c r="F5" s="14">
        <f t="shared" ref="F5:F21" si="1">D5/C5*1000</f>
        <v>914.43791662037484</v>
      </c>
      <c r="G5" s="14">
        <f t="shared" ref="G5:G23" si="2">C5/$B$23*100</f>
        <v>5.4958869315835486</v>
      </c>
      <c r="H5" s="14">
        <f t="shared" ref="H5:H23" si="3">D5/$B$23*100</f>
        <v>5.025647395698404</v>
      </c>
      <c r="I5" s="19">
        <f>C5+I4</f>
        <v>124932540</v>
      </c>
      <c r="J5" s="19">
        <f>J4+D5</f>
        <v>114802364</v>
      </c>
      <c r="K5" s="19">
        <f t="shared" ref="K5:K21" si="4">SUM(I5:J5)</f>
        <v>239734904</v>
      </c>
    </row>
    <row r="6" spans="1:11" ht="15.9" x14ac:dyDescent="0.45">
      <c r="A6" s="2" t="s">
        <v>9</v>
      </c>
      <c r="B6" s="12">
        <v>132709212</v>
      </c>
      <c r="C6" s="13">
        <v>69418835</v>
      </c>
      <c r="D6" s="13">
        <v>63290377</v>
      </c>
      <c r="E6" s="3">
        <f t="shared" si="0"/>
        <v>109.68308025720876</v>
      </c>
      <c r="F6" s="14">
        <f t="shared" si="1"/>
        <v>911.71764838750175</v>
      </c>
      <c r="G6" s="14">
        <f t="shared" si="2"/>
        <v>5.7543798874996535</v>
      </c>
      <c r="H6" s="14">
        <f t="shared" si="3"/>
        <v>5.246369698959521</v>
      </c>
      <c r="I6" s="19">
        <f t="shared" ref="I6:I21" si="5">C6+I5</f>
        <v>194351375</v>
      </c>
      <c r="J6" s="19">
        <f t="shared" ref="J6:J21" si="6">J5+D6</f>
        <v>178092741</v>
      </c>
      <c r="K6" s="19">
        <f t="shared" si="4"/>
        <v>372444116</v>
      </c>
    </row>
    <row r="7" spans="1:11" ht="15.9" x14ac:dyDescent="0.45">
      <c r="A7" s="2" t="s">
        <v>10</v>
      </c>
      <c r="B7" s="12">
        <v>120526449</v>
      </c>
      <c r="C7" s="13">
        <v>63982396</v>
      </c>
      <c r="D7" s="13">
        <v>56544053</v>
      </c>
      <c r="E7" s="3">
        <f t="shared" si="0"/>
        <v>113.15495194516743</v>
      </c>
      <c r="F7" s="14">
        <f t="shared" si="1"/>
        <v>883.74391293505175</v>
      </c>
      <c r="G7" s="14">
        <f t="shared" si="2"/>
        <v>5.3037336725175281</v>
      </c>
      <c r="H7" s="14">
        <f t="shared" si="3"/>
        <v>4.6871423489160318</v>
      </c>
      <c r="I7" s="19">
        <f t="shared" si="5"/>
        <v>258333771</v>
      </c>
      <c r="J7" s="19">
        <f t="shared" si="6"/>
        <v>234636794</v>
      </c>
      <c r="K7" s="19">
        <f t="shared" si="4"/>
        <v>492970565</v>
      </c>
    </row>
    <row r="8" spans="1:11" ht="15.9" x14ac:dyDescent="0.45">
      <c r="A8" s="2" t="s">
        <v>11</v>
      </c>
      <c r="B8" s="12">
        <v>111424222</v>
      </c>
      <c r="C8" s="13">
        <v>57584693</v>
      </c>
      <c r="D8" s="13">
        <v>53839529</v>
      </c>
      <c r="E8" s="3">
        <f t="shared" si="0"/>
        <v>106.95616040771827</v>
      </c>
      <c r="F8" s="14">
        <f t="shared" si="1"/>
        <v>934.9625081790399</v>
      </c>
      <c r="G8" s="14">
        <f t="shared" si="2"/>
        <v>4.7734047859927653</v>
      </c>
      <c r="H8" s="14">
        <f t="shared" si="3"/>
        <v>4.4629545112656288</v>
      </c>
      <c r="I8" s="19">
        <f t="shared" si="5"/>
        <v>315918464</v>
      </c>
      <c r="J8" s="19">
        <f t="shared" si="6"/>
        <v>288476323</v>
      </c>
      <c r="K8" s="20">
        <f t="shared" si="4"/>
        <v>604394787</v>
      </c>
    </row>
    <row r="9" spans="1:11" ht="15.9" x14ac:dyDescent="0.45">
      <c r="A9" s="2" t="s">
        <v>12</v>
      </c>
      <c r="B9" s="12">
        <v>101413965</v>
      </c>
      <c r="C9" s="13">
        <v>51344208</v>
      </c>
      <c r="D9" s="13">
        <v>50069757</v>
      </c>
      <c r="E9" s="3">
        <f t="shared" si="0"/>
        <v>102.54535087917442</v>
      </c>
      <c r="F9" s="14">
        <f t="shared" si="1"/>
        <v>975.17829080156423</v>
      </c>
      <c r="G9" s="14">
        <f t="shared" si="2"/>
        <v>4.2561082716931047</v>
      </c>
      <c r="H9" s="14">
        <f t="shared" si="3"/>
        <v>4.150464389856082</v>
      </c>
      <c r="I9" s="19">
        <f t="shared" si="5"/>
        <v>367262672</v>
      </c>
      <c r="J9" s="19">
        <f t="shared" si="6"/>
        <v>338546080</v>
      </c>
      <c r="K9" s="19">
        <f t="shared" si="4"/>
        <v>705808752</v>
      </c>
    </row>
    <row r="10" spans="1:11" ht="15.9" x14ac:dyDescent="0.45">
      <c r="A10" s="2" t="s">
        <v>13</v>
      </c>
      <c r="B10" s="12">
        <v>88594951</v>
      </c>
      <c r="C10" s="13">
        <v>44660674</v>
      </c>
      <c r="D10" s="13">
        <v>43934277</v>
      </c>
      <c r="E10" s="3">
        <f t="shared" si="0"/>
        <v>101.65337192188231</v>
      </c>
      <c r="F10" s="14">
        <f t="shared" si="1"/>
        <v>983.73519844326574</v>
      </c>
      <c r="G10" s="14">
        <f t="shared" si="2"/>
        <v>3.7020858132778911</v>
      </c>
      <c r="H10" s="14">
        <f t="shared" si="3"/>
        <v>3.641872122178925</v>
      </c>
      <c r="I10" s="19">
        <f t="shared" si="5"/>
        <v>411923346</v>
      </c>
      <c r="J10" s="19">
        <f t="shared" si="6"/>
        <v>382480357</v>
      </c>
      <c r="K10" s="19">
        <f t="shared" si="4"/>
        <v>794403703</v>
      </c>
    </row>
    <row r="11" spans="1:11" ht="15.9" x14ac:dyDescent="0.45">
      <c r="A11" s="2" t="s">
        <v>14</v>
      </c>
      <c r="B11" s="12">
        <v>85140684</v>
      </c>
      <c r="C11" s="13">
        <v>42919381</v>
      </c>
      <c r="D11" s="13">
        <v>42221303</v>
      </c>
      <c r="E11" s="3">
        <f t="shared" si="0"/>
        <v>101.65337862737206</v>
      </c>
      <c r="F11" s="14">
        <f t="shared" si="1"/>
        <v>983.73513355190278</v>
      </c>
      <c r="G11" s="14">
        <f t="shared" si="2"/>
        <v>3.5577436989591482</v>
      </c>
      <c r="H11" s="14">
        <f t="shared" si="3"/>
        <v>3.4998774728390183</v>
      </c>
      <c r="I11" s="19">
        <f t="shared" si="5"/>
        <v>454842727</v>
      </c>
      <c r="J11" s="19">
        <f t="shared" si="6"/>
        <v>424701660</v>
      </c>
      <c r="K11" s="19">
        <f t="shared" si="4"/>
        <v>879544387</v>
      </c>
    </row>
    <row r="12" spans="1:11" ht="15.9" x14ac:dyDescent="0.45">
      <c r="A12" s="2" t="s">
        <v>15</v>
      </c>
      <c r="B12" s="12">
        <v>72438112</v>
      </c>
      <c r="C12" s="13">
        <v>37545386</v>
      </c>
      <c r="D12" s="13">
        <v>34892726</v>
      </c>
      <c r="E12" s="3">
        <f t="shared" si="0"/>
        <v>107.60232949411864</v>
      </c>
      <c r="F12" s="14">
        <f t="shared" si="1"/>
        <v>929.347909753811</v>
      </c>
      <c r="G12" s="14">
        <f t="shared" si="2"/>
        <v>3.1122736944060079</v>
      </c>
      <c r="H12" s="14">
        <f t="shared" si="3"/>
        <v>2.8923850524779948</v>
      </c>
      <c r="I12" s="19">
        <f t="shared" si="5"/>
        <v>492388113</v>
      </c>
      <c r="J12" s="19">
        <f t="shared" si="6"/>
        <v>459594386</v>
      </c>
      <c r="K12" s="19">
        <f t="shared" si="4"/>
        <v>951982499</v>
      </c>
    </row>
    <row r="13" spans="1:11" ht="15.9" x14ac:dyDescent="0.45">
      <c r="A13" s="2" t="s">
        <v>16</v>
      </c>
      <c r="B13" s="12">
        <v>62318327</v>
      </c>
      <c r="C13" s="13">
        <v>32138114</v>
      </c>
      <c r="D13" s="13">
        <v>30180213</v>
      </c>
      <c r="E13" s="3">
        <f t="shared" si="0"/>
        <v>106.48736640791768</v>
      </c>
      <c r="F13" s="14">
        <f t="shared" si="1"/>
        <v>939.07853460224828</v>
      </c>
      <c r="G13" s="14">
        <f t="shared" si="2"/>
        <v>2.6640452382090687</v>
      </c>
      <c r="H13" s="14">
        <f t="shared" si="3"/>
        <v>2.5017476984114699</v>
      </c>
      <c r="I13" s="19">
        <f t="shared" si="5"/>
        <v>524526227</v>
      </c>
      <c r="J13" s="19">
        <f t="shared" si="6"/>
        <v>489774599</v>
      </c>
      <c r="K13" s="19">
        <f t="shared" si="4"/>
        <v>1014300826</v>
      </c>
    </row>
    <row r="14" spans="1:11" ht="15.9" x14ac:dyDescent="0.45">
      <c r="A14" s="2" t="s">
        <v>17</v>
      </c>
      <c r="B14" s="12">
        <v>49069254</v>
      </c>
      <c r="C14" s="13">
        <v>25843266</v>
      </c>
      <c r="D14" s="13">
        <v>23225988</v>
      </c>
      <c r="E14" s="3">
        <f t="shared" si="0"/>
        <v>111.26874774928844</v>
      </c>
      <c r="F14" s="14">
        <f t="shared" si="1"/>
        <v>898.72495217903179</v>
      </c>
      <c r="G14" s="14">
        <f t="shared" si="2"/>
        <v>2.1422423769817458</v>
      </c>
      <c r="H14" s="14">
        <f t="shared" si="3"/>
        <v>1.9252866778088153</v>
      </c>
      <c r="I14" s="19">
        <f t="shared" si="5"/>
        <v>550369493</v>
      </c>
      <c r="J14" s="19">
        <f t="shared" si="6"/>
        <v>513000587</v>
      </c>
      <c r="K14" s="19">
        <f t="shared" si="4"/>
        <v>1063370080</v>
      </c>
    </row>
    <row r="15" spans="1:11" ht="15.9" x14ac:dyDescent="0.45">
      <c r="A15" s="2" t="s">
        <v>18</v>
      </c>
      <c r="B15" s="12">
        <v>39146055</v>
      </c>
      <c r="C15" s="13">
        <v>19456012</v>
      </c>
      <c r="D15" s="13">
        <v>19690043</v>
      </c>
      <c r="E15" s="3">
        <f t="shared" si="0"/>
        <v>98.811424637315412</v>
      </c>
      <c r="F15" s="14">
        <f t="shared" si="1"/>
        <v>1012.0287240776784</v>
      </c>
      <c r="G15" s="14">
        <f t="shared" si="2"/>
        <v>1.6127796460967965</v>
      </c>
      <c r="H15" s="14">
        <f t="shared" si="3"/>
        <v>1.6321793274577907</v>
      </c>
      <c r="I15" s="19">
        <f t="shared" si="5"/>
        <v>569825505</v>
      </c>
      <c r="J15" s="19">
        <f t="shared" si="6"/>
        <v>532690630</v>
      </c>
      <c r="K15" s="19">
        <f t="shared" si="4"/>
        <v>1102516135</v>
      </c>
    </row>
    <row r="16" spans="1:11" ht="15.9" x14ac:dyDescent="0.45">
      <c r="A16" s="2" t="s">
        <v>19</v>
      </c>
      <c r="B16" s="12">
        <v>37663707</v>
      </c>
      <c r="C16" s="13">
        <v>18701749</v>
      </c>
      <c r="D16" s="13">
        <v>18961958</v>
      </c>
      <c r="E16" s="3">
        <f t="shared" si="0"/>
        <v>98.627731376685887</v>
      </c>
      <c r="F16" s="14">
        <f t="shared" si="1"/>
        <v>1013.9136184535469</v>
      </c>
      <c r="G16" s="14">
        <f t="shared" si="2"/>
        <v>1.5502560408377173</v>
      </c>
      <c r="H16" s="14">
        <f t="shared" si="3"/>
        <v>1.5718257118952392</v>
      </c>
      <c r="I16" s="19">
        <f t="shared" si="5"/>
        <v>588527254</v>
      </c>
      <c r="J16" s="19">
        <f t="shared" si="6"/>
        <v>551652588</v>
      </c>
      <c r="K16" s="19">
        <f t="shared" si="4"/>
        <v>1140179842</v>
      </c>
    </row>
    <row r="17" spans="1:11" ht="15.9" x14ac:dyDescent="0.45">
      <c r="A17" s="2" t="s">
        <v>20</v>
      </c>
      <c r="B17" s="12">
        <v>26454983</v>
      </c>
      <c r="C17" s="13">
        <v>12944326</v>
      </c>
      <c r="D17" s="13">
        <v>13510657</v>
      </c>
      <c r="E17" s="3">
        <f t="shared" si="0"/>
        <v>95.808264542575543</v>
      </c>
      <c r="F17" s="14">
        <f t="shared" si="1"/>
        <v>1043.7512930375826</v>
      </c>
      <c r="G17" s="14">
        <f t="shared" si="2"/>
        <v>1.0730022938535173</v>
      </c>
      <c r="H17" s="14">
        <f t="shared" si="3"/>
        <v>1.1199475316419012</v>
      </c>
      <c r="I17" s="19">
        <f t="shared" si="5"/>
        <v>601471580</v>
      </c>
      <c r="J17" s="19">
        <f t="shared" si="6"/>
        <v>565163245</v>
      </c>
      <c r="K17" s="19">
        <f t="shared" si="4"/>
        <v>1166634825</v>
      </c>
    </row>
    <row r="18" spans="1:11" ht="15.9" x14ac:dyDescent="0.45">
      <c r="A18" s="2" t="s">
        <v>21</v>
      </c>
      <c r="B18" s="12">
        <v>19208842</v>
      </c>
      <c r="C18" s="13">
        <v>9651499</v>
      </c>
      <c r="D18" s="13">
        <v>9557343</v>
      </c>
      <c r="E18" s="3">
        <f t="shared" si="0"/>
        <v>100.98516920445357</v>
      </c>
      <c r="F18" s="14">
        <f t="shared" si="1"/>
        <v>990.24441695533517</v>
      </c>
      <c r="G18" s="14">
        <f t="shared" si="2"/>
        <v>0.80004787936621258</v>
      </c>
      <c r="H18" s="14">
        <f t="shared" si="3"/>
        <v>0.79224294583934762</v>
      </c>
      <c r="I18" s="19">
        <f t="shared" si="5"/>
        <v>611123079</v>
      </c>
      <c r="J18" s="19">
        <f t="shared" si="6"/>
        <v>574720588</v>
      </c>
      <c r="K18" s="19">
        <f t="shared" si="4"/>
        <v>1185843667</v>
      </c>
    </row>
    <row r="19" spans="1:11" ht="15.9" x14ac:dyDescent="0.45">
      <c r="A19" s="2" t="s">
        <v>22</v>
      </c>
      <c r="B19" s="12">
        <v>9232503</v>
      </c>
      <c r="C19" s="13">
        <v>4490603</v>
      </c>
      <c r="D19" s="13">
        <v>4741900</v>
      </c>
      <c r="E19" s="3">
        <f t="shared" si="0"/>
        <v>94.70049979965836</v>
      </c>
      <c r="F19" s="14">
        <f t="shared" si="1"/>
        <v>1055.9606360214875</v>
      </c>
      <c r="G19" s="14">
        <f t="shared" si="2"/>
        <v>0.37224242651069567</v>
      </c>
      <c r="H19" s="14">
        <f t="shared" si="3"/>
        <v>0.39307334945241601</v>
      </c>
      <c r="I19" s="19">
        <f t="shared" si="5"/>
        <v>615613682</v>
      </c>
      <c r="J19" s="19">
        <f t="shared" si="6"/>
        <v>579462488</v>
      </c>
      <c r="K19" s="19">
        <f t="shared" si="4"/>
        <v>1195076170</v>
      </c>
    </row>
    <row r="20" spans="1:11" ht="15.9" x14ac:dyDescent="0.45">
      <c r="A20" s="2" t="s">
        <v>23</v>
      </c>
      <c r="B20" s="12">
        <v>6220229</v>
      </c>
      <c r="C20" s="13">
        <v>2927040</v>
      </c>
      <c r="D20" s="13">
        <v>3293189</v>
      </c>
      <c r="E20" s="3">
        <f t="shared" si="0"/>
        <v>88.881628111839319</v>
      </c>
      <c r="F20" s="14">
        <f t="shared" si="1"/>
        <v>1125.0919017164099</v>
      </c>
      <c r="G20" s="14">
        <f t="shared" si="2"/>
        <v>0.2426329987518083</v>
      </c>
      <c r="H20" s="14">
        <f t="shared" si="3"/>
        <v>0.27298442198482725</v>
      </c>
      <c r="I20" s="19">
        <f t="shared" si="5"/>
        <v>618540722</v>
      </c>
      <c r="J20" s="19">
        <f t="shared" si="6"/>
        <v>582755677</v>
      </c>
      <c r="K20" s="19">
        <f t="shared" si="4"/>
        <v>1201296399</v>
      </c>
    </row>
    <row r="21" spans="1:11" ht="15.9" x14ac:dyDescent="0.45">
      <c r="A21" s="2" t="s">
        <v>24</v>
      </c>
      <c r="B21" s="12">
        <v>5068776</v>
      </c>
      <c r="C21" s="13">
        <v>2356655</v>
      </c>
      <c r="D21" s="13">
        <v>2712121</v>
      </c>
      <c r="E21" s="3">
        <f t="shared" si="0"/>
        <v>86.893431377139891</v>
      </c>
      <c r="F21" s="14">
        <f t="shared" si="1"/>
        <v>1150.8349758450008</v>
      </c>
      <c r="G21" s="14">
        <f t="shared" si="2"/>
        <v>0.1953517101486289</v>
      </c>
      <c r="H21" s="14">
        <f t="shared" si="3"/>
        <v>0.2248175806301769</v>
      </c>
      <c r="I21" s="21">
        <f t="shared" si="5"/>
        <v>620897377</v>
      </c>
      <c r="J21" s="21">
        <f t="shared" si="6"/>
        <v>585467798</v>
      </c>
      <c r="K21" s="20">
        <f t="shared" si="4"/>
        <v>1206365175</v>
      </c>
    </row>
    <row r="22" spans="1:11" x14ac:dyDescent="0.4">
      <c r="G22" s="14"/>
      <c r="H22" s="14"/>
    </row>
    <row r="23" spans="1:11" ht="15.9" x14ac:dyDescent="0.45">
      <c r="A23" s="2" t="s">
        <v>35</v>
      </c>
      <c r="B23" s="12">
        <f>SUM(B4:B21)</f>
        <v>1206365175</v>
      </c>
      <c r="C23" s="22">
        <f t="shared" ref="C23:D23" si="7">SUM(C4:C21)</f>
        <v>620897377</v>
      </c>
      <c r="D23" s="22">
        <f t="shared" si="7"/>
        <v>585467798</v>
      </c>
      <c r="E23" s="16">
        <f>C23/D23*100</f>
        <v>106.05149918083112</v>
      </c>
      <c r="F23" s="17">
        <f>D23/C23*1000</f>
        <v>942.93810811186597</v>
      </c>
      <c r="G23" s="18">
        <f t="shared" si="2"/>
        <v>51.468443375779636</v>
      </c>
      <c r="H23" s="18">
        <f t="shared" si="3"/>
        <v>48.531556624220357</v>
      </c>
    </row>
    <row r="24" spans="1:11" x14ac:dyDescent="0.4">
      <c r="B24" s="12">
        <f>SUM(B4:B21)</f>
        <v>1206365175</v>
      </c>
      <c r="C24" s="12">
        <f t="shared" ref="C24:D24" si="8">SUM(C4:C21)</f>
        <v>620897377</v>
      </c>
      <c r="D24" s="12">
        <f t="shared" si="8"/>
        <v>585467798</v>
      </c>
    </row>
    <row r="26" spans="1:11" ht="15.9" x14ac:dyDescent="0.45">
      <c r="A26" s="2" t="s">
        <v>25</v>
      </c>
      <c r="B26" s="2" t="s">
        <v>52</v>
      </c>
      <c r="C26" s="4"/>
    </row>
    <row r="28" spans="1:11" x14ac:dyDescent="0.4">
      <c r="A28" t="s">
        <v>26</v>
      </c>
      <c r="G28" t="s">
        <v>53</v>
      </c>
      <c r="H28" s="20">
        <f>SUM(B4:B6)</f>
        <v>372444116</v>
      </c>
    </row>
    <row r="29" spans="1:11" x14ac:dyDescent="0.4">
      <c r="A29">
        <v>1</v>
      </c>
      <c r="B29" t="s">
        <v>27</v>
      </c>
      <c r="G29" t="s">
        <v>54</v>
      </c>
      <c r="H29" s="20">
        <f>SUM(B7:B16)</f>
        <v>767735726</v>
      </c>
    </row>
    <row r="30" spans="1:11" x14ac:dyDescent="0.4">
      <c r="A30">
        <v>2</v>
      </c>
      <c r="B30" t="s">
        <v>28</v>
      </c>
      <c r="G30" t="s">
        <v>55</v>
      </c>
      <c r="H30" s="20">
        <f>SUM(B17:B21)</f>
        <v>66185333</v>
      </c>
    </row>
    <row r="31" spans="1:11" x14ac:dyDescent="0.4">
      <c r="A31">
        <v>3</v>
      </c>
      <c r="B31" t="s">
        <v>29</v>
      </c>
    </row>
    <row r="32" spans="1:11" x14ac:dyDescent="0.4">
      <c r="A32">
        <v>4</v>
      </c>
      <c r="B32" t="s">
        <v>30</v>
      </c>
      <c r="G32" s="1" t="s">
        <v>56</v>
      </c>
      <c r="H32" s="15">
        <f>H28/H29*100</f>
        <v>48.512020919031713</v>
      </c>
    </row>
    <row r="33" spans="1:8" x14ac:dyDescent="0.4">
      <c r="A33">
        <v>5</v>
      </c>
      <c r="B33" t="s">
        <v>31</v>
      </c>
      <c r="G33" s="1" t="s">
        <v>57</v>
      </c>
      <c r="H33" s="15">
        <f>H30/H29*100</f>
        <v>8.6208483933441435</v>
      </c>
    </row>
    <row r="34" spans="1:8" x14ac:dyDescent="0.4">
      <c r="A34">
        <v>6</v>
      </c>
      <c r="B34" t="s">
        <v>32</v>
      </c>
      <c r="G34" s="1" t="s">
        <v>58</v>
      </c>
      <c r="H34" s="15">
        <f>SUM(H32:H33)</f>
        <v>57.13286931237586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657BB-434E-4B19-9105-A437743CB055}">
  <dimension ref="A1:M26"/>
  <sheetViews>
    <sheetView zoomScale="90" zoomScaleNormal="90" workbookViewId="0">
      <selection activeCell="M7" sqref="M7:M9"/>
    </sheetView>
  </sheetViews>
  <sheetFormatPr defaultRowHeight="14.6" x14ac:dyDescent="0.4"/>
  <cols>
    <col min="1" max="1" width="14.69140625" customWidth="1"/>
    <col min="2" max="3" width="17.3046875" customWidth="1"/>
    <col min="4" max="4" width="19.53515625" customWidth="1"/>
    <col min="5" max="5" width="15.765625" customWidth="1"/>
    <col min="6" max="6" width="16.15234375" customWidth="1"/>
    <col min="7" max="7" width="17.3046875" customWidth="1"/>
    <col min="8" max="8" width="15.3828125" customWidth="1"/>
    <col min="9" max="9" width="17.3046875" customWidth="1"/>
    <col min="10" max="10" width="16.61328125" customWidth="1"/>
  </cols>
  <sheetData>
    <row r="1" spans="1:13" ht="27.45" customHeight="1" thickBot="1" x14ac:dyDescent="0.5">
      <c r="A1" s="8" t="s">
        <v>33</v>
      </c>
      <c r="B1" s="8" t="s">
        <v>34</v>
      </c>
      <c r="C1" s="8" t="s">
        <v>65</v>
      </c>
      <c r="D1" s="23" t="s">
        <v>60</v>
      </c>
      <c r="E1" s="23" t="s">
        <v>69</v>
      </c>
      <c r="F1" s="23" t="s">
        <v>61</v>
      </c>
      <c r="G1" s="8" t="s">
        <v>36</v>
      </c>
      <c r="H1" s="8" t="s">
        <v>37</v>
      </c>
      <c r="I1" s="8" t="s">
        <v>38</v>
      </c>
      <c r="J1" s="25" t="s">
        <v>64</v>
      </c>
      <c r="K1" s="25" t="s">
        <v>62</v>
      </c>
      <c r="L1" s="25" t="s">
        <v>63</v>
      </c>
      <c r="M1" s="25" t="s">
        <v>91</v>
      </c>
    </row>
    <row r="2" spans="1:13" ht="18.45" thickBot="1" x14ac:dyDescent="0.5">
      <c r="A2" s="5" t="s">
        <v>39</v>
      </c>
      <c r="B2" s="6">
        <v>0</v>
      </c>
      <c r="C2" s="6">
        <v>0.5</v>
      </c>
      <c r="D2" s="42">
        <v>384383</v>
      </c>
      <c r="E2" s="6">
        <v>402876</v>
      </c>
      <c r="F2" s="6">
        <v>787259</v>
      </c>
      <c r="G2" s="42">
        <v>1589</v>
      </c>
      <c r="H2" s="6">
        <v>1915</v>
      </c>
      <c r="I2" s="6">
        <v>3504</v>
      </c>
      <c r="J2" s="26">
        <f>G2/D2*1000</f>
        <v>4.1338977009909392</v>
      </c>
      <c r="K2" s="4">
        <f>H2/E2*1000</f>
        <v>4.7533236032923281</v>
      </c>
      <c r="L2" s="4">
        <f>I2/F2*1000</f>
        <v>4.4508859219138808</v>
      </c>
      <c r="M2">
        <f>K2/J2</f>
        <v>1.1498406460694239</v>
      </c>
    </row>
    <row r="3" spans="1:13" ht="18.45" thickBot="1" x14ac:dyDescent="0.5">
      <c r="A3" s="5" t="s">
        <v>66</v>
      </c>
      <c r="B3" s="6">
        <v>1</v>
      </c>
      <c r="C3" s="6">
        <v>3</v>
      </c>
      <c r="D3" s="6">
        <v>1486810</v>
      </c>
      <c r="E3" s="6">
        <v>1557668</v>
      </c>
      <c r="F3" s="6">
        <v>3044477</v>
      </c>
      <c r="G3" s="6">
        <v>255</v>
      </c>
      <c r="H3" s="6">
        <v>306</v>
      </c>
      <c r="I3" s="6">
        <v>561</v>
      </c>
      <c r="J3" s="26">
        <f t="shared" ref="J3:J26" si="0">G3/D3*1000</f>
        <v>0.17150812814011207</v>
      </c>
      <c r="K3" s="4">
        <f t="shared" ref="K3:K26" si="1">H3/E3*1000</f>
        <v>0.19644750999571153</v>
      </c>
      <c r="L3" s="4">
        <f t="shared" ref="L3:L26" si="2">I3/F3*1000</f>
        <v>0.184268102534524</v>
      </c>
      <c r="M3">
        <f t="shared" ref="M3:M26" si="3">K3/J3</f>
        <v>1.1454122444577406</v>
      </c>
    </row>
    <row r="4" spans="1:13" ht="18.45" thickBot="1" x14ac:dyDescent="0.5">
      <c r="A4" s="5" t="s">
        <v>67</v>
      </c>
      <c r="B4" s="6">
        <v>5</v>
      </c>
      <c r="C4" s="6">
        <v>7.5</v>
      </c>
      <c r="D4" s="6">
        <v>1692231</v>
      </c>
      <c r="E4" s="6">
        <v>1774079</v>
      </c>
      <c r="F4" s="6">
        <v>3466310</v>
      </c>
      <c r="G4" s="6">
        <v>145</v>
      </c>
      <c r="H4" s="6">
        <v>181</v>
      </c>
      <c r="I4" s="6">
        <v>326</v>
      </c>
      <c r="J4" s="26">
        <f t="shared" si="0"/>
        <v>8.5685701302009004E-2</v>
      </c>
      <c r="K4" s="4">
        <f t="shared" si="1"/>
        <v>0.1020247689082617</v>
      </c>
      <c r="L4" s="4">
        <f t="shared" si="2"/>
        <v>9.4048137644930779E-2</v>
      </c>
      <c r="M4">
        <f t="shared" si="3"/>
        <v>1.1906860463061835</v>
      </c>
    </row>
    <row r="5" spans="1:13" ht="18.45" thickBot="1" x14ac:dyDescent="0.5">
      <c r="A5" s="5" t="s">
        <v>68</v>
      </c>
      <c r="B5" s="6">
        <v>10</v>
      </c>
      <c r="C5" s="6">
        <f>C4+5</f>
        <v>12.5</v>
      </c>
      <c r="D5" s="6">
        <v>1813124</v>
      </c>
      <c r="E5" s="6">
        <v>1906552</v>
      </c>
      <c r="F5" s="6">
        <v>3719676</v>
      </c>
      <c r="G5" s="6">
        <v>169</v>
      </c>
      <c r="H5" s="6">
        <v>198</v>
      </c>
      <c r="I5" s="6">
        <v>367</v>
      </c>
      <c r="J5" s="26">
        <f t="shared" si="0"/>
        <v>9.3209289601814321E-2</v>
      </c>
      <c r="K5" s="4">
        <f t="shared" si="1"/>
        <v>0.10385239951493586</v>
      </c>
      <c r="L5" s="4">
        <f t="shared" si="2"/>
        <v>9.8664507338811228E-2</v>
      </c>
      <c r="M5">
        <f t="shared" si="3"/>
        <v>1.1141850770302875</v>
      </c>
    </row>
    <row r="6" spans="1:13" ht="18.45" thickBot="1" x14ac:dyDescent="0.5">
      <c r="A6" s="5" t="s">
        <v>10</v>
      </c>
      <c r="B6" s="6">
        <v>15</v>
      </c>
      <c r="C6" s="6">
        <f>C5+5</f>
        <v>17.5</v>
      </c>
      <c r="D6" s="6">
        <v>1963965</v>
      </c>
      <c r="E6" s="6">
        <v>2045365</v>
      </c>
      <c r="F6" s="6">
        <v>4009330</v>
      </c>
      <c r="G6" s="6">
        <v>412</v>
      </c>
      <c r="H6" s="6">
        <v>741</v>
      </c>
      <c r="I6" s="6">
        <v>1153</v>
      </c>
      <c r="J6" s="26">
        <f t="shared" si="0"/>
        <v>0.20977970585015518</v>
      </c>
      <c r="K6" s="4">
        <f t="shared" si="1"/>
        <v>0.36228252659060856</v>
      </c>
      <c r="L6" s="4">
        <f t="shared" si="2"/>
        <v>0.28757922146593073</v>
      </c>
      <c r="M6">
        <f t="shared" si="3"/>
        <v>1.7269665105231178</v>
      </c>
    </row>
    <row r="7" spans="1:13" ht="18.45" thickBot="1" x14ac:dyDescent="0.5">
      <c r="A7" s="5" t="s">
        <v>11</v>
      </c>
      <c r="B7" s="6">
        <v>20</v>
      </c>
      <c r="C7" s="6">
        <f t="shared" ref="C7:C24" si="4">C6+5</f>
        <v>22.5</v>
      </c>
      <c r="D7" s="6">
        <v>2086311</v>
      </c>
      <c r="E7" s="6">
        <v>2088253</v>
      </c>
      <c r="F7" s="6">
        <v>4174564</v>
      </c>
      <c r="G7" s="6">
        <v>481</v>
      </c>
      <c r="H7" s="6">
        <v>1330</v>
      </c>
      <c r="I7" s="6">
        <v>1811</v>
      </c>
      <c r="J7" s="26">
        <f t="shared" si="0"/>
        <v>0.23055047881164409</v>
      </c>
      <c r="K7" s="4">
        <f t="shared" si="1"/>
        <v>0.63689600829018322</v>
      </c>
      <c r="L7" s="4">
        <f t="shared" si="2"/>
        <v>0.43381775917197579</v>
      </c>
      <c r="M7" s="1">
        <f t="shared" si="3"/>
        <v>2.7625013470933482</v>
      </c>
    </row>
    <row r="8" spans="1:13" ht="18.45" thickBot="1" x14ac:dyDescent="0.5">
      <c r="A8" s="5" t="s">
        <v>12</v>
      </c>
      <c r="B8" s="6">
        <v>25</v>
      </c>
      <c r="C8" s="6">
        <f t="shared" si="4"/>
        <v>27.5</v>
      </c>
      <c r="D8" s="6">
        <v>2141406</v>
      </c>
      <c r="E8" s="6">
        <v>2120883</v>
      </c>
      <c r="F8" s="6">
        <v>4262288</v>
      </c>
      <c r="G8" s="6">
        <v>665</v>
      </c>
      <c r="H8" s="6">
        <v>1456</v>
      </c>
      <c r="I8" s="6">
        <v>2121</v>
      </c>
      <c r="J8" s="26">
        <f t="shared" si="0"/>
        <v>0.31054363348192726</v>
      </c>
      <c r="K8" s="4">
        <f t="shared" si="1"/>
        <v>0.68650651638963578</v>
      </c>
      <c r="L8" s="4">
        <f t="shared" si="2"/>
        <v>0.49762005758409561</v>
      </c>
      <c r="M8" s="1">
        <f t="shared" si="3"/>
        <v>2.2106604108809993</v>
      </c>
    </row>
    <row r="9" spans="1:13" ht="18.45" thickBot="1" x14ac:dyDescent="0.5">
      <c r="A9" s="5" t="s">
        <v>13</v>
      </c>
      <c r="B9" s="6">
        <v>30</v>
      </c>
      <c r="C9" s="6">
        <f t="shared" si="4"/>
        <v>32.5</v>
      </c>
      <c r="D9" s="6">
        <v>2001255</v>
      </c>
      <c r="E9" s="6">
        <v>2001712</v>
      </c>
      <c r="F9" s="6">
        <v>4002967</v>
      </c>
      <c r="G9" s="6">
        <v>923</v>
      </c>
      <c r="H9" s="6">
        <v>1888</v>
      </c>
      <c r="I9" s="6">
        <v>2811</v>
      </c>
      <c r="J9" s="26">
        <f t="shared" si="0"/>
        <v>0.46121059035455247</v>
      </c>
      <c r="K9" s="4">
        <f t="shared" si="1"/>
        <v>0.94319262711119289</v>
      </c>
      <c r="L9" s="4">
        <f t="shared" si="2"/>
        <v>0.70222912154909101</v>
      </c>
      <c r="M9" s="1">
        <f t="shared" si="3"/>
        <v>2.045036794116371</v>
      </c>
    </row>
    <row r="10" spans="1:13" ht="18.45" thickBot="1" x14ac:dyDescent="0.5">
      <c r="A10" s="5" t="s">
        <v>14</v>
      </c>
      <c r="B10" s="6">
        <v>35</v>
      </c>
      <c r="C10" s="6">
        <f t="shared" si="4"/>
        <v>37.5</v>
      </c>
      <c r="D10" s="6">
        <v>2189682</v>
      </c>
      <c r="E10" s="6">
        <v>2152107</v>
      </c>
      <c r="F10" s="6">
        <v>4341789</v>
      </c>
      <c r="G10" s="6">
        <v>1578</v>
      </c>
      <c r="H10" s="6">
        <v>2727</v>
      </c>
      <c r="I10" s="6">
        <v>4305</v>
      </c>
      <c r="J10" s="26">
        <f t="shared" si="0"/>
        <v>0.72065258791002529</v>
      </c>
      <c r="K10" s="4">
        <f t="shared" si="1"/>
        <v>1.2671303053240381</v>
      </c>
      <c r="L10" s="4">
        <f t="shared" si="2"/>
        <v>0.99152676465853129</v>
      </c>
      <c r="M10">
        <f t="shared" si="3"/>
        <v>1.75830951915244</v>
      </c>
    </row>
    <row r="11" spans="1:13" ht="18.45" thickBot="1" x14ac:dyDescent="0.5">
      <c r="A11" s="5" t="s">
        <v>15</v>
      </c>
      <c r="B11" s="6">
        <v>40</v>
      </c>
      <c r="C11" s="6">
        <f t="shared" si="4"/>
        <v>42.5</v>
      </c>
      <c r="D11" s="6">
        <v>2360900</v>
      </c>
      <c r="E11" s="6">
        <v>2314331</v>
      </c>
      <c r="F11" s="6">
        <v>4675231</v>
      </c>
      <c r="G11" s="6">
        <v>2631</v>
      </c>
      <c r="H11" s="6">
        <v>4270</v>
      </c>
      <c r="I11" s="6">
        <v>6901</v>
      </c>
      <c r="J11" s="26">
        <f t="shared" si="0"/>
        <v>1.1144055233173791</v>
      </c>
      <c r="K11" s="4">
        <f t="shared" si="1"/>
        <v>1.8450256251158541</v>
      </c>
      <c r="L11" s="4">
        <f t="shared" si="2"/>
        <v>1.4760767970609365</v>
      </c>
      <c r="M11">
        <f t="shared" si="3"/>
        <v>1.6556142144948762</v>
      </c>
    </row>
    <row r="12" spans="1:13" ht="18.45" thickBot="1" x14ac:dyDescent="0.5">
      <c r="A12" s="5" t="s">
        <v>16</v>
      </c>
      <c r="B12" s="6">
        <v>45</v>
      </c>
      <c r="C12" s="6">
        <f t="shared" si="4"/>
        <v>47.5</v>
      </c>
      <c r="D12" s="6">
        <v>2296231</v>
      </c>
      <c r="E12" s="6">
        <v>2247166</v>
      </c>
      <c r="F12" s="6">
        <v>4543397</v>
      </c>
      <c r="G12" s="6">
        <v>3911</v>
      </c>
      <c r="H12" s="6">
        <v>5988</v>
      </c>
      <c r="I12" s="6">
        <v>9899</v>
      </c>
      <c r="J12" s="26">
        <f t="shared" si="0"/>
        <v>1.703225851406065</v>
      </c>
      <c r="K12" s="4">
        <f t="shared" si="1"/>
        <v>2.6646896579958934</v>
      </c>
      <c r="L12" s="4">
        <f t="shared" si="2"/>
        <v>2.1787662403263459</v>
      </c>
      <c r="M12">
        <f t="shared" si="3"/>
        <v>1.5644957806365554</v>
      </c>
    </row>
    <row r="13" spans="1:13" ht="18.45" thickBot="1" x14ac:dyDescent="0.5">
      <c r="A13" s="5" t="s">
        <v>17</v>
      </c>
      <c r="B13" s="6">
        <v>50</v>
      </c>
      <c r="C13" s="6">
        <f t="shared" si="4"/>
        <v>52.5</v>
      </c>
      <c r="D13" s="6">
        <v>1993476</v>
      </c>
      <c r="E13" s="6">
        <v>1963789</v>
      </c>
      <c r="F13" s="6">
        <v>3957265</v>
      </c>
      <c r="G13" s="6">
        <v>5620</v>
      </c>
      <c r="H13" s="6">
        <v>8132</v>
      </c>
      <c r="I13" s="6">
        <v>13752</v>
      </c>
      <c r="J13" s="26">
        <f t="shared" si="0"/>
        <v>2.8191962180633228</v>
      </c>
      <c r="K13" s="4">
        <f t="shared" si="1"/>
        <v>4.1409744122204577</v>
      </c>
      <c r="L13" s="4">
        <f t="shared" si="2"/>
        <v>3.4751273922772423</v>
      </c>
      <c r="M13">
        <f t="shared" si="3"/>
        <v>1.4688493073622044</v>
      </c>
    </row>
    <row r="14" spans="1:13" ht="18.45" thickBot="1" x14ac:dyDescent="0.5">
      <c r="A14" s="5" t="s">
        <v>18</v>
      </c>
      <c r="B14" s="6">
        <v>55</v>
      </c>
      <c r="C14" s="6">
        <f t="shared" si="4"/>
        <v>57.5</v>
      </c>
      <c r="D14" s="6">
        <v>1824525</v>
      </c>
      <c r="E14" s="6">
        <v>1779348</v>
      </c>
      <c r="F14" s="6">
        <v>3603873</v>
      </c>
      <c r="G14" s="6">
        <v>7815</v>
      </c>
      <c r="H14" s="6">
        <v>11753</v>
      </c>
      <c r="I14" s="6">
        <v>19568</v>
      </c>
      <c r="J14" s="26">
        <f t="shared" si="0"/>
        <v>4.2833066140502325</v>
      </c>
      <c r="K14" s="4">
        <f t="shared" si="1"/>
        <v>6.605228431987447</v>
      </c>
      <c r="L14" s="4">
        <f t="shared" si="2"/>
        <v>5.4297140881490549</v>
      </c>
      <c r="M14">
        <f t="shared" si="3"/>
        <v>1.542086296208816</v>
      </c>
    </row>
    <row r="15" spans="1:13" ht="18.45" thickBot="1" x14ac:dyDescent="0.5">
      <c r="A15" s="5" t="s">
        <v>19</v>
      </c>
      <c r="B15" s="6">
        <v>60</v>
      </c>
      <c r="C15" s="6">
        <f t="shared" si="4"/>
        <v>62.5</v>
      </c>
      <c r="D15" s="6">
        <v>1911204</v>
      </c>
      <c r="E15" s="6">
        <v>1843078</v>
      </c>
      <c r="F15" s="6">
        <v>3754282</v>
      </c>
      <c r="G15" s="6">
        <v>12551</v>
      </c>
      <c r="H15" s="6">
        <v>18834</v>
      </c>
      <c r="I15" s="6">
        <v>31385</v>
      </c>
      <c r="J15" s="26">
        <f t="shared" si="0"/>
        <v>6.5670645310495379</v>
      </c>
      <c r="K15" s="4">
        <f t="shared" si="1"/>
        <v>10.218775331266501</v>
      </c>
      <c r="L15" s="4">
        <f t="shared" si="2"/>
        <v>8.3597875705660893</v>
      </c>
      <c r="M15">
        <f t="shared" si="3"/>
        <v>1.5560644003041877</v>
      </c>
    </row>
    <row r="16" spans="1:13" ht="18.45" thickBot="1" x14ac:dyDescent="0.5">
      <c r="A16" s="5" t="s">
        <v>20</v>
      </c>
      <c r="B16" s="6">
        <v>65</v>
      </c>
      <c r="C16" s="6">
        <f t="shared" si="4"/>
        <v>67.5</v>
      </c>
      <c r="D16" s="6">
        <v>1494886</v>
      </c>
      <c r="E16" s="6">
        <v>1400847</v>
      </c>
      <c r="F16" s="6">
        <v>2895733</v>
      </c>
      <c r="G16" s="6">
        <v>15631</v>
      </c>
      <c r="H16" s="6">
        <v>23092</v>
      </c>
      <c r="I16" s="6">
        <v>38723</v>
      </c>
      <c r="J16" s="26">
        <f t="shared" si="0"/>
        <v>10.456315732437123</v>
      </c>
      <c r="K16" s="4">
        <f t="shared" si="1"/>
        <v>16.484312705099128</v>
      </c>
      <c r="L16" s="4">
        <f t="shared" si="2"/>
        <v>13.372434544206943</v>
      </c>
      <c r="M16">
        <f t="shared" si="3"/>
        <v>1.5764933966140884</v>
      </c>
    </row>
    <row r="17" spans="1:13" ht="18.45" thickBot="1" x14ac:dyDescent="0.5">
      <c r="A17" s="5" t="s">
        <v>21</v>
      </c>
      <c r="B17" s="6">
        <v>70</v>
      </c>
      <c r="C17" s="6">
        <f t="shared" si="4"/>
        <v>72.5</v>
      </c>
      <c r="D17" s="6">
        <v>1297668</v>
      </c>
      <c r="E17" s="6">
        <v>1156762</v>
      </c>
      <c r="F17" s="6">
        <v>2454430</v>
      </c>
      <c r="G17" s="6">
        <v>22574</v>
      </c>
      <c r="H17" s="6">
        <v>30960</v>
      </c>
      <c r="I17" s="6">
        <v>53534</v>
      </c>
      <c r="J17" s="26">
        <f t="shared" si="0"/>
        <v>17.39582081086996</v>
      </c>
      <c r="K17" s="4">
        <f t="shared" si="1"/>
        <v>26.76436466619754</v>
      </c>
      <c r="L17" s="4">
        <f t="shared" si="2"/>
        <v>21.811174081151222</v>
      </c>
      <c r="M17">
        <f t="shared" si="3"/>
        <v>1.5385514116973169</v>
      </c>
    </row>
    <row r="18" spans="1:13" ht="18.45" thickBot="1" x14ac:dyDescent="0.5">
      <c r="A18" s="5" t="s">
        <v>22</v>
      </c>
      <c r="B18" s="6">
        <v>75</v>
      </c>
      <c r="C18" s="6">
        <f t="shared" si="4"/>
        <v>77.5</v>
      </c>
      <c r="D18" s="6">
        <v>1103656</v>
      </c>
      <c r="E18" s="6">
        <v>888420</v>
      </c>
      <c r="F18" s="6">
        <v>1992075</v>
      </c>
      <c r="G18" s="6">
        <v>33570</v>
      </c>
      <c r="H18" s="6">
        <v>39861</v>
      </c>
      <c r="I18" s="6">
        <v>73431</v>
      </c>
      <c r="J18" s="26">
        <f t="shared" si="0"/>
        <v>30.417086483469486</v>
      </c>
      <c r="K18" s="4">
        <f t="shared" si="1"/>
        <v>44.867292496792054</v>
      </c>
      <c r="L18" s="4">
        <f t="shared" si="2"/>
        <v>36.861563947140546</v>
      </c>
      <c r="M18">
        <f t="shared" si="3"/>
        <v>1.4750687091998669</v>
      </c>
    </row>
    <row r="19" spans="1:13" ht="18.45" thickBot="1" x14ac:dyDescent="0.5">
      <c r="A19" s="5" t="s">
        <v>23</v>
      </c>
      <c r="B19" s="6">
        <v>80</v>
      </c>
      <c r="C19" s="6">
        <f t="shared" si="4"/>
        <v>82.5</v>
      </c>
      <c r="D19" s="6">
        <v>873266</v>
      </c>
      <c r="E19" s="6">
        <v>595564</v>
      </c>
      <c r="F19" s="6">
        <v>1468829</v>
      </c>
      <c r="G19" s="6">
        <v>49189</v>
      </c>
      <c r="H19" s="6">
        <v>46609</v>
      </c>
      <c r="I19" s="6">
        <v>95798</v>
      </c>
      <c r="J19" s="26">
        <f t="shared" si="0"/>
        <v>56.327625259657424</v>
      </c>
      <c r="K19" s="4">
        <f t="shared" si="1"/>
        <v>78.260270936456877</v>
      </c>
      <c r="L19" s="4">
        <f t="shared" si="2"/>
        <v>65.220662173745211</v>
      </c>
      <c r="M19">
        <f t="shared" si="3"/>
        <v>1.3893763597470157</v>
      </c>
    </row>
    <row r="20" spans="1:13" ht="18.45" hidden="1" thickBot="1" x14ac:dyDescent="0.5">
      <c r="A20" s="5" t="s">
        <v>41</v>
      </c>
      <c r="B20" s="6">
        <v>85</v>
      </c>
      <c r="C20" s="6">
        <f t="shared" si="4"/>
        <v>87.5</v>
      </c>
      <c r="D20" s="6">
        <v>614791</v>
      </c>
      <c r="E20" s="6">
        <v>322235</v>
      </c>
      <c r="F20" s="6">
        <v>937026</v>
      </c>
      <c r="G20" s="6">
        <v>61538</v>
      </c>
      <c r="H20" s="6">
        <v>42819</v>
      </c>
      <c r="I20" s="6">
        <v>104357</v>
      </c>
      <c r="J20" s="26">
        <f t="shared" si="0"/>
        <v>100.09580491581691</v>
      </c>
      <c r="K20" s="4">
        <f t="shared" si="1"/>
        <v>132.88128229397799</v>
      </c>
      <c r="L20" s="4">
        <f t="shared" si="2"/>
        <v>111.37044222892428</v>
      </c>
      <c r="M20">
        <f t="shared" si="3"/>
        <v>1.3275409734277523</v>
      </c>
    </row>
    <row r="21" spans="1:13" ht="18.45" hidden="1" thickBot="1" x14ac:dyDescent="0.5">
      <c r="A21" s="5" t="s">
        <v>42</v>
      </c>
      <c r="B21" s="6">
        <v>90</v>
      </c>
      <c r="C21" s="6">
        <f t="shared" si="4"/>
        <v>92.5</v>
      </c>
      <c r="D21" s="6">
        <v>229168</v>
      </c>
      <c r="E21" s="6">
        <v>85675</v>
      </c>
      <c r="F21" s="6">
        <v>314842</v>
      </c>
      <c r="G21" s="6">
        <v>43783</v>
      </c>
      <c r="H21" s="6">
        <v>20726</v>
      </c>
      <c r="I21" s="6">
        <v>64509</v>
      </c>
      <c r="J21" s="26">
        <f t="shared" si="0"/>
        <v>191.05197933393842</v>
      </c>
      <c r="K21" s="4">
        <f t="shared" si="1"/>
        <v>241.91421067989498</v>
      </c>
      <c r="L21" s="4">
        <f t="shared" si="2"/>
        <v>204.89324804187498</v>
      </c>
      <c r="M21">
        <f t="shared" si="3"/>
        <v>1.2662219544821089</v>
      </c>
    </row>
    <row r="22" spans="1:13" ht="18.45" hidden="1" thickBot="1" x14ac:dyDescent="0.5">
      <c r="A22" s="5" t="s">
        <v>43</v>
      </c>
      <c r="B22" s="6">
        <v>95</v>
      </c>
      <c r="C22" s="6">
        <f t="shared" si="4"/>
        <v>97.5</v>
      </c>
      <c r="D22" s="6">
        <v>71141</v>
      </c>
      <c r="E22" s="6">
        <v>17682</v>
      </c>
      <c r="F22" s="6">
        <v>88823</v>
      </c>
      <c r="G22" s="6">
        <v>21158</v>
      </c>
      <c r="H22" s="6">
        <v>6377</v>
      </c>
      <c r="I22" s="6">
        <v>27535</v>
      </c>
      <c r="J22" s="26">
        <f t="shared" si="0"/>
        <v>297.40937012411973</v>
      </c>
      <c r="K22" s="4">
        <f t="shared" si="1"/>
        <v>360.6492478226445</v>
      </c>
      <c r="L22" s="4">
        <f t="shared" si="2"/>
        <v>309.99853641511771</v>
      </c>
      <c r="M22">
        <f t="shared" si="3"/>
        <v>1.212635794467849</v>
      </c>
    </row>
    <row r="23" spans="1:13" ht="19.75" hidden="1" customHeight="1" thickBot="1" x14ac:dyDescent="0.5">
      <c r="A23" s="5" t="s">
        <v>44</v>
      </c>
      <c r="B23" s="6">
        <v>100</v>
      </c>
      <c r="C23" s="6">
        <f t="shared" si="4"/>
        <v>102.5</v>
      </c>
      <c r="D23" s="6">
        <v>9133</v>
      </c>
      <c r="E23" s="6">
        <v>1357</v>
      </c>
      <c r="F23" s="6">
        <v>10490</v>
      </c>
      <c r="G23" s="6">
        <v>4257</v>
      </c>
      <c r="H23" s="6">
        <v>758</v>
      </c>
      <c r="I23" s="6">
        <v>5015</v>
      </c>
      <c r="J23" s="26">
        <f t="shared" si="0"/>
        <v>466.11190189422973</v>
      </c>
      <c r="K23" s="4">
        <f t="shared" si="1"/>
        <v>558.58511422254981</v>
      </c>
      <c r="L23" s="4">
        <f t="shared" si="2"/>
        <v>478.07435653002864</v>
      </c>
      <c r="M23">
        <f t="shared" si="3"/>
        <v>1.1983927291976855</v>
      </c>
    </row>
    <row r="24" spans="1:13" ht="21.9" customHeight="1" thickBot="1" x14ac:dyDescent="0.5">
      <c r="A24" s="5" t="s">
        <v>45</v>
      </c>
      <c r="B24" s="6">
        <v>105</v>
      </c>
      <c r="C24" s="6">
        <f t="shared" si="4"/>
        <v>107.5</v>
      </c>
      <c r="D24" s="6">
        <v>448</v>
      </c>
      <c r="E24" s="6">
        <v>44</v>
      </c>
      <c r="F24" s="6">
        <v>492</v>
      </c>
      <c r="G24" s="6">
        <v>263</v>
      </c>
      <c r="H24" s="6">
        <v>22</v>
      </c>
      <c r="I24" s="6">
        <v>285</v>
      </c>
      <c r="J24" s="26">
        <f t="shared" si="0"/>
        <v>587.05357142857144</v>
      </c>
      <c r="K24" s="4">
        <f t="shared" si="1"/>
        <v>500</v>
      </c>
      <c r="L24" s="4">
        <f t="shared" si="2"/>
        <v>579.26829268292681</v>
      </c>
      <c r="M24">
        <f t="shared" si="3"/>
        <v>0.85171102661596954</v>
      </c>
    </row>
    <row r="25" spans="1:13" ht="18.45" thickBot="1" x14ac:dyDescent="0.5">
      <c r="A25" s="5" t="s">
        <v>46</v>
      </c>
      <c r="B25" s="6">
        <v>110</v>
      </c>
      <c r="C25" s="6"/>
      <c r="D25" s="6">
        <v>12</v>
      </c>
      <c r="E25" s="6">
        <v>1</v>
      </c>
      <c r="F25" s="6">
        <v>13</v>
      </c>
      <c r="G25" s="6">
        <v>12</v>
      </c>
      <c r="H25" s="6">
        <v>2</v>
      </c>
      <c r="I25" s="6">
        <v>15</v>
      </c>
      <c r="J25" s="26">
        <f t="shared" si="0"/>
        <v>1000</v>
      </c>
      <c r="K25" s="4">
        <f t="shared" si="1"/>
        <v>2000</v>
      </c>
      <c r="L25" s="4">
        <f t="shared" si="2"/>
        <v>1153.8461538461538</v>
      </c>
      <c r="M25">
        <f t="shared" si="3"/>
        <v>2</v>
      </c>
    </row>
    <row r="26" spans="1:13" ht="22.75" thickBot="1" x14ac:dyDescent="0.55000000000000004">
      <c r="A26" s="7"/>
      <c r="B26" s="5" t="s">
        <v>35</v>
      </c>
      <c r="C26" s="6"/>
      <c r="D26" s="6">
        <v>31839667</v>
      </c>
      <c r="E26" s="6">
        <v>30665788</v>
      </c>
      <c r="F26" s="6">
        <v>62505455</v>
      </c>
      <c r="G26" s="6">
        <v>290720</v>
      </c>
      <c r="H26" s="6">
        <v>270945</v>
      </c>
      <c r="I26" s="6">
        <v>561666</v>
      </c>
      <c r="J26" s="32">
        <f t="shared" si="0"/>
        <v>9.1307487606575783</v>
      </c>
      <c r="K26" s="33">
        <f t="shared" si="1"/>
        <v>8.8354161973597414</v>
      </c>
      <c r="L26" s="4">
        <f t="shared" si="2"/>
        <v>8.9858717131168788</v>
      </c>
      <c r="M26">
        <f t="shared" si="3"/>
        <v>0.96765516486770931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7F632-0E61-4B00-A3E3-8FA2087B77A5}">
  <dimension ref="A1:J25"/>
  <sheetViews>
    <sheetView topLeftCell="A4" workbookViewId="0">
      <selection activeCell="F24" sqref="F24"/>
    </sheetView>
  </sheetViews>
  <sheetFormatPr defaultRowHeight="14.6" x14ac:dyDescent="0.4"/>
  <cols>
    <col min="1" max="1" width="22.84375" customWidth="1"/>
    <col min="5" max="5" width="17.07421875" customWidth="1"/>
    <col min="6" max="6" width="19" customWidth="1"/>
  </cols>
  <sheetData>
    <row r="1" spans="1:10" ht="90.45" thickBot="1" x14ac:dyDescent="0.5">
      <c r="A1" s="9" t="s">
        <v>2</v>
      </c>
      <c r="B1" s="9" t="s">
        <v>6</v>
      </c>
      <c r="E1" s="8" t="s">
        <v>33</v>
      </c>
      <c r="F1" s="24" t="s">
        <v>64</v>
      </c>
      <c r="G1" s="25" t="s">
        <v>62</v>
      </c>
      <c r="H1" s="25" t="s">
        <v>63</v>
      </c>
      <c r="J1" t="s">
        <v>70</v>
      </c>
    </row>
    <row r="2" spans="1:10" ht="18.45" thickBot="1" x14ac:dyDescent="0.5">
      <c r="A2" s="2" t="s">
        <v>7</v>
      </c>
      <c r="B2" s="3">
        <v>108.22776992007192</v>
      </c>
      <c r="E2" s="5" t="s">
        <v>39</v>
      </c>
      <c r="F2" s="4">
        <v>4.1338977009909392</v>
      </c>
      <c r="G2" s="4">
        <v>4.7533236032923281</v>
      </c>
      <c r="H2" s="4">
        <v>4.4508859219138808</v>
      </c>
      <c r="J2">
        <f>G2/F2</f>
        <v>1.1498406460694239</v>
      </c>
    </row>
    <row r="3" spans="1:10" ht="18.45" thickBot="1" x14ac:dyDescent="0.5">
      <c r="A3" s="2" t="s">
        <v>8</v>
      </c>
      <c r="B3" s="3">
        <v>109.35679523174736</v>
      </c>
      <c r="E3" s="5" t="s">
        <v>66</v>
      </c>
      <c r="F3" s="4">
        <v>0.17150812814011207</v>
      </c>
      <c r="G3" s="4">
        <v>0.19644750999571153</v>
      </c>
      <c r="H3" s="4">
        <v>0.184268102534524</v>
      </c>
      <c r="J3">
        <f t="shared" ref="J3:J22" si="0">G3/F3</f>
        <v>1.1454122444577406</v>
      </c>
    </row>
    <row r="4" spans="1:10" ht="18.45" thickBot="1" x14ac:dyDescent="0.5">
      <c r="A4" s="2" t="s">
        <v>9</v>
      </c>
      <c r="B4" s="3">
        <v>109.68308025720876</v>
      </c>
      <c r="E4" s="5" t="s">
        <v>67</v>
      </c>
      <c r="F4" s="4">
        <v>8.5685701302009004E-2</v>
      </c>
      <c r="G4" s="4">
        <v>0.1020247689082617</v>
      </c>
      <c r="H4" s="4">
        <v>9.4048137644930779E-2</v>
      </c>
      <c r="J4">
        <f t="shared" si="0"/>
        <v>1.1906860463061835</v>
      </c>
    </row>
    <row r="5" spans="1:10" ht="18.45" thickBot="1" x14ac:dyDescent="0.5">
      <c r="A5" s="2" t="s">
        <v>10</v>
      </c>
      <c r="B5" s="3">
        <v>113.15495194516743</v>
      </c>
      <c r="E5" s="5" t="s">
        <v>40</v>
      </c>
      <c r="F5" s="4">
        <v>9.3209289601814321E-2</v>
      </c>
      <c r="G5" s="4">
        <v>0.10385239951493586</v>
      </c>
      <c r="H5" s="4">
        <v>9.8664507338811228E-2</v>
      </c>
      <c r="J5">
        <f t="shared" si="0"/>
        <v>1.1141850770302875</v>
      </c>
    </row>
    <row r="6" spans="1:10" ht="18.45" thickBot="1" x14ac:dyDescent="0.5">
      <c r="A6" s="2" t="s">
        <v>11</v>
      </c>
      <c r="B6" s="3">
        <v>106.95616040771827</v>
      </c>
      <c r="E6" s="5" t="s">
        <v>10</v>
      </c>
      <c r="F6" s="4">
        <v>0.20977970585015518</v>
      </c>
      <c r="G6" s="4">
        <v>0.36228252659060856</v>
      </c>
      <c r="H6" s="4">
        <v>0.28757922146593073</v>
      </c>
      <c r="J6">
        <f t="shared" si="0"/>
        <v>1.7269665105231178</v>
      </c>
    </row>
    <row r="7" spans="1:10" ht="18.45" thickBot="1" x14ac:dyDescent="0.5">
      <c r="A7" s="2" t="s">
        <v>12</v>
      </c>
      <c r="B7" s="3">
        <v>102.54535087917442</v>
      </c>
      <c r="E7" s="5" t="s">
        <v>11</v>
      </c>
      <c r="F7" s="4">
        <v>0.23055047881164409</v>
      </c>
      <c r="G7" s="4">
        <v>0.63689600829018322</v>
      </c>
      <c r="H7" s="4">
        <v>0.43381775917197579</v>
      </c>
      <c r="J7">
        <f t="shared" si="0"/>
        <v>2.7625013470933482</v>
      </c>
    </row>
    <row r="8" spans="1:10" ht="18.45" thickBot="1" x14ac:dyDescent="0.5">
      <c r="A8" s="2" t="s">
        <v>13</v>
      </c>
      <c r="B8" s="3">
        <v>101.65337192188231</v>
      </c>
      <c r="E8" s="5" t="s">
        <v>12</v>
      </c>
      <c r="F8" s="4">
        <v>0.31054363348192726</v>
      </c>
      <c r="G8" s="4">
        <v>0.68650651638963578</v>
      </c>
      <c r="H8" s="4">
        <v>0.49762005758409561</v>
      </c>
      <c r="J8">
        <f t="shared" si="0"/>
        <v>2.2106604108809993</v>
      </c>
    </row>
    <row r="9" spans="1:10" ht="18.45" thickBot="1" x14ac:dyDescent="0.5">
      <c r="A9" s="2" t="s">
        <v>14</v>
      </c>
      <c r="B9" s="3">
        <v>101.65337862737206</v>
      </c>
      <c r="E9" s="5" t="s">
        <v>13</v>
      </c>
      <c r="F9" s="4">
        <v>0.46121059035455247</v>
      </c>
      <c r="G9" s="4">
        <v>0.94319262711119289</v>
      </c>
      <c r="H9" s="4">
        <v>0.70222912154909101</v>
      </c>
      <c r="J9">
        <f t="shared" si="0"/>
        <v>2.045036794116371</v>
      </c>
    </row>
    <row r="10" spans="1:10" ht="18.45" thickBot="1" x14ac:dyDescent="0.5">
      <c r="A10" s="2" t="s">
        <v>15</v>
      </c>
      <c r="B10" s="3">
        <v>107.60232949411864</v>
      </c>
      <c r="E10" s="5" t="s">
        <v>14</v>
      </c>
      <c r="F10" s="4">
        <v>0.72065258791002529</v>
      </c>
      <c r="G10" s="4">
        <v>1.2671303053240381</v>
      </c>
      <c r="H10" s="4">
        <v>0.99152676465853129</v>
      </c>
      <c r="J10">
        <f t="shared" si="0"/>
        <v>1.75830951915244</v>
      </c>
    </row>
    <row r="11" spans="1:10" ht="18.45" thickBot="1" x14ac:dyDescent="0.5">
      <c r="A11" s="2" t="s">
        <v>16</v>
      </c>
      <c r="B11" s="3">
        <v>106.48736640791768</v>
      </c>
      <c r="E11" s="5" t="s">
        <v>15</v>
      </c>
      <c r="F11" s="4">
        <v>1.1144055233173791</v>
      </c>
      <c r="G11" s="4">
        <v>1.8450256251158541</v>
      </c>
      <c r="H11" s="4">
        <v>1.4760767970609365</v>
      </c>
      <c r="J11">
        <f t="shared" si="0"/>
        <v>1.6556142144948762</v>
      </c>
    </row>
    <row r="12" spans="1:10" ht="18.45" thickBot="1" x14ac:dyDescent="0.5">
      <c r="A12" s="2" t="s">
        <v>17</v>
      </c>
      <c r="B12" s="3">
        <v>111.26874774928844</v>
      </c>
      <c r="E12" s="5" t="s">
        <v>16</v>
      </c>
      <c r="F12" s="4">
        <v>1.703225851406065</v>
      </c>
      <c r="G12" s="4">
        <v>2.6646896579958934</v>
      </c>
      <c r="H12" s="4">
        <v>2.1787662403263459</v>
      </c>
      <c r="J12">
        <f t="shared" si="0"/>
        <v>1.5644957806365554</v>
      </c>
    </row>
    <row r="13" spans="1:10" ht="18.45" thickBot="1" x14ac:dyDescent="0.5">
      <c r="A13" s="2" t="s">
        <v>18</v>
      </c>
      <c r="B13" s="3">
        <v>98.811424637315412</v>
      </c>
      <c r="E13" s="5" t="s">
        <v>17</v>
      </c>
      <c r="F13" s="4">
        <v>2.8191962180633228</v>
      </c>
      <c r="G13" s="4">
        <v>4.1409744122204577</v>
      </c>
      <c r="H13" s="4">
        <v>3.4751273922772423</v>
      </c>
      <c r="J13">
        <f t="shared" si="0"/>
        <v>1.4688493073622044</v>
      </c>
    </row>
    <row r="14" spans="1:10" ht="18.45" thickBot="1" x14ac:dyDescent="0.5">
      <c r="A14" s="2" t="s">
        <v>19</v>
      </c>
      <c r="B14" s="3">
        <v>98.627731376685887</v>
      </c>
      <c r="E14" s="5" t="s">
        <v>18</v>
      </c>
      <c r="F14" s="4">
        <v>4.2833066140502325</v>
      </c>
      <c r="G14" s="4">
        <v>6.605228431987447</v>
      </c>
      <c r="H14" s="4">
        <v>5.4297140881490549</v>
      </c>
      <c r="J14">
        <f t="shared" si="0"/>
        <v>1.542086296208816</v>
      </c>
    </row>
    <row r="15" spans="1:10" ht="18.45" thickBot="1" x14ac:dyDescent="0.5">
      <c r="A15" s="2" t="s">
        <v>20</v>
      </c>
      <c r="B15" s="3">
        <v>95.808264542575543</v>
      </c>
      <c r="E15" s="5" t="s">
        <v>19</v>
      </c>
      <c r="F15" s="4">
        <v>6.5670645310495379</v>
      </c>
      <c r="G15" s="4">
        <v>10.218775331266501</v>
      </c>
      <c r="H15" s="4">
        <v>8.3597875705660893</v>
      </c>
      <c r="J15">
        <f t="shared" si="0"/>
        <v>1.5560644003041877</v>
      </c>
    </row>
    <row r="16" spans="1:10" ht="18.45" thickBot="1" x14ac:dyDescent="0.5">
      <c r="A16" s="2" t="s">
        <v>21</v>
      </c>
      <c r="B16" s="3">
        <v>100.98516920445357</v>
      </c>
      <c r="E16" s="5" t="s">
        <v>20</v>
      </c>
      <c r="F16" s="4">
        <v>10.456315732437123</v>
      </c>
      <c r="G16" s="4">
        <v>16.484312705099128</v>
      </c>
      <c r="H16" s="4">
        <v>13.372434544206943</v>
      </c>
      <c r="J16">
        <f t="shared" si="0"/>
        <v>1.5764933966140884</v>
      </c>
    </row>
    <row r="17" spans="1:10" ht="18.45" thickBot="1" x14ac:dyDescent="0.5">
      <c r="A17" s="2" t="s">
        <v>22</v>
      </c>
      <c r="B17" s="3">
        <v>94.70049979965836</v>
      </c>
      <c r="E17" s="5" t="s">
        <v>21</v>
      </c>
      <c r="F17" s="4">
        <v>17.39582081086996</v>
      </c>
      <c r="G17" s="4">
        <v>26.76436466619754</v>
      </c>
      <c r="H17" s="4">
        <v>21.811174081151222</v>
      </c>
      <c r="J17">
        <f t="shared" si="0"/>
        <v>1.5385514116973169</v>
      </c>
    </row>
    <row r="18" spans="1:10" ht="18.45" thickBot="1" x14ac:dyDescent="0.5">
      <c r="A18" s="2" t="s">
        <v>23</v>
      </c>
      <c r="B18" s="3">
        <v>88.881628111839319</v>
      </c>
      <c r="E18" s="5" t="s">
        <v>22</v>
      </c>
      <c r="F18" s="4">
        <v>30.417086483469486</v>
      </c>
      <c r="G18" s="4">
        <v>44.867292496792054</v>
      </c>
      <c r="H18" s="4">
        <v>36.861563947140546</v>
      </c>
      <c r="J18">
        <f t="shared" si="0"/>
        <v>1.4750687091998669</v>
      </c>
    </row>
    <row r="19" spans="1:10" ht="18.45" thickBot="1" x14ac:dyDescent="0.5">
      <c r="A19" s="2" t="s">
        <v>24</v>
      </c>
      <c r="B19" s="3">
        <v>86.893431377139891</v>
      </c>
      <c r="E19" s="5" t="s">
        <v>23</v>
      </c>
      <c r="F19" s="4">
        <v>56.327625259657424</v>
      </c>
      <c r="G19" s="4">
        <v>78.260270936456877</v>
      </c>
      <c r="H19" s="4">
        <v>65.220662173745211</v>
      </c>
      <c r="J19">
        <f t="shared" si="0"/>
        <v>1.3893763597470157</v>
      </c>
    </row>
    <row r="20" spans="1:10" ht="18.45" thickBot="1" x14ac:dyDescent="0.5">
      <c r="E20" s="5" t="s">
        <v>41</v>
      </c>
      <c r="F20" s="4">
        <v>100.09580491581691</v>
      </c>
      <c r="G20" s="4">
        <v>132.88128229397799</v>
      </c>
      <c r="H20" s="4">
        <v>111.37044222892428</v>
      </c>
      <c r="J20">
        <f t="shared" si="0"/>
        <v>1.3275409734277523</v>
      </c>
    </row>
    <row r="21" spans="1:10" ht="18.45" thickBot="1" x14ac:dyDescent="0.5">
      <c r="E21" s="5" t="s">
        <v>42</v>
      </c>
      <c r="F21" s="4">
        <v>191.05197933393842</v>
      </c>
      <c r="G21" s="4">
        <v>241.91421067989498</v>
      </c>
      <c r="H21" s="4">
        <v>204.89324804187498</v>
      </c>
      <c r="J21">
        <f t="shared" si="0"/>
        <v>1.2662219544821089</v>
      </c>
    </row>
    <row r="22" spans="1:10" ht="18.45" thickBot="1" x14ac:dyDescent="0.5">
      <c r="E22" s="5" t="s">
        <v>43</v>
      </c>
      <c r="F22" s="4">
        <v>297.40937012411973</v>
      </c>
      <c r="G22" s="4">
        <v>360.6492478226445</v>
      </c>
      <c r="H22" s="4">
        <v>309.99853641511771</v>
      </c>
      <c r="J22">
        <f t="shared" si="0"/>
        <v>1.212635794467849</v>
      </c>
    </row>
    <row r="23" spans="1:10" ht="36.450000000000003" thickBot="1" x14ac:dyDescent="0.5">
      <c r="E23" s="5" t="s">
        <v>44</v>
      </c>
      <c r="F23" s="4">
        <v>466.11190189422973</v>
      </c>
      <c r="G23" s="4">
        <v>558.58511422254981</v>
      </c>
      <c r="H23" s="4">
        <v>478.07435653002864</v>
      </c>
    </row>
    <row r="24" spans="1:10" ht="36.450000000000003" thickBot="1" x14ac:dyDescent="0.5">
      <c r="E24" s="5" t="s">
        <v>45</v>
      </c>
      <c r="F24" s="4">
        <v>587.05357142857144</v>
      </c>
      <c r="G24" s="4">
        <v>500</v>
      </c>
      <c r="H24" s="4">
        <v>579.26829268292681</v>
      </c>
    </row>
    <row r="25" spans="1:10" ht="18.45" thickBot="1" x14ac:dyDescent="0.5">
      <c r="E25" s="5" t="s">
        <v>46</v>
      </c>
      <c r="F25" s="4">
        <v>1000</v>
      </c>
      <c r="G25" s="4">
        <v>2000</v>
      </c>
      <c r="H25" s="4">
        <v>1153.8461538461538</v>
      </c>
    </row>
  </sheetData>
  <conditionalFormatting sqref="J2:J2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BBB85-DA2A-4BAC-A1A9-B467DEBA864C}">
  <dimension ref="A1:U24"/>
  <sheetViews>
    <sheetView tabSelected="1" topLeftCell="K6" zoomScale="133" zoomScaleNormal="133" workbookViewId="0">
      <selection activeCell="U15" sqref="U15"/>
    </sheetView>
  </sheetViews>
  <sheetFormatPr defaultRowHeight="14.6" x14ac:dyDescent="0.4"/>
  <cols>
    <col min="3" max="3" width="15.765625" customWidth="1"/>
    <col min="10" max="10" width="19.84375" customWidth="1"/>
    <col min="11" max="11" width="10" bestFit="1" customWidth="1"/>
    <col min="12" max="12" width="9.3046875" bestFit="1" customWidth="1"/>
    <col min="18" max="18" width="22.69140625" customWidth="1"/>
    <col min="19" max="19" width="17.23046875" customWidth="1"/>
    <col min="20" max="20" width="16.4609375" customWidth="1"/>
  </cols>
  <sheetData>
    <row r="1" spans="1:21" ht="31.75" customHeight="1" x14ac:dyDescent="0.4">
      <c r="A1" s="27" t="s">
        <v>71</v>
      </c>
      <c r="B1" s="27" t="s">
        <v>72</v>
      </c>
      <c r="C1" s="27" t="s">
        <v>73</v>
      </c>
      <c r="D1" s="27" t="s">
        <v>74</v>
      </c>
      <c r="I1" s="34" t="s">
        <v>78</v>
      </c>
      <c r="J1" s="35"/>
      <c r="K1" s="35"/>
      <c r="L1" s="36"/>
    </row>
    <row r="2" spans="1:21" ht="25.75" x14ac:dyDescent="0.4">
      <c r="A2" s="28" t="s">
        <v>35</v>
      </c>
      <c r="B2" s="29">
        <v>10220180</v>
      </c>
      <c r="C2" s="29">
        <v>4967734</v>
      </c>
      <c r="D2" s="29">
        <v>5252446</v>
      </c>
      <c r="I2" s="37" t="s">
        <v>79</v>
      </c>
      <c r="J2" s="37" t="s">
        <v>80</v>
      </c>
      <c r="K2" s="37" t="s">
        <v>81</v>
      </c>
      <c r="L2" s="37" t="s">
        <v>82</v>
      </c>
    </row>
    <row r="3" spans="1:21" x14ac:dyDescent="0.4">
      <c r="A3" s="28" t="s">
        <v>7</v>
      </c>
      <c r="B3" s="29">
        <v>2016960</v>
      </c>
      <c r="C3" s="29">
        <v>1013757</v>
      </c>
      <c r="D3" s="29">
        <v>1003203</v>
      </c>
      <c r="I3" s="38" t="s">
        <v>83</v>
      </c>
      <c r="J3" s="39">
        <v>16700</v>
      </c>
      <c r="K3" s="39">
        <v>7498</v>
      </c>
      <c r="L3" s="38">
        <v>2.2000000000000002</v>
      </c>
    </row>
    <row r="4" spans="1:21" x14ac:dyDescent="0.4">
      <c r="A4" s="30" t="s">
        <v>76</v>
      </c>
      <c r="B4" s="29">
        <v>1562670</v>
      </c>
      <c r="C4" s="29">
        <v>782946</v>
      </c>
      <c r="D4" s="29">
        <v>779724</v>
      </c>
      <c r="I4" s="38" t="s">
        <v>84</v>
      </c>
      <c r="J4" s="39">
        <v>11900</v>
      </c>
      <c r="K4" s="39">
        <v>3219</v>
      </c>
      <c r="L4" s="38">
        <v>3.7</v>
      </c>
    </row>
    <row r="5" spans="1:21" x14ac:dyDescent="0.4">
      <c r="A5" s="31" t="s">
        <v>77</v>
      </c>
      <c r="B5" s="29">
        <v>1297216</v>
      </c>
      <c r="C5" s="29">
        <v>648163</v>
      </c>
      <c r="D5" s="29">
        <v>649053</v>
      </c>
      <c r="I5" s="38" t="s">
        <v>86</v>
      </c>
      <c r="J5" s="39">
        <v>36100</v>
      </c>
      <c r="K5" s="38">
        <v>742</v>
      </c>
      <c r="L5" s="38">
        <v>48.7</v>
      </c>
    </row>
    <row r="6" spans="1:21" x14ac:dyDescent="0.4">
      <c r="A6" s="28" t="s">
        <v>10</v>
      </c>
      <c r="B6" s="29">
        <v>1106861</v>
      </c>
      <c r="C6" s="29">
        <v>550633</v>
      </c>
      <c r="D6" s="29">
        <v>556228</v>
      </c>
      <c r="I6" s="37" t="s">
        <v>87</v>
      </c>
      <c r="J6" s="40">
        <v>64700</v>
      </c>
      <c r="K6" s="40">
        <v>11459</v>
      </c>
      <c r="L6" s="37">
        <v>5.6</v>
      </c>
    </row>
    <row r="7" spans="1:21" x14ac:dyDescent="0.4">
      <c r="A7" s="28" t="s">
        <v>11</v>
      </c>
      <c r="B7" s="29">
        <v>915338</v>
      </c>
      <c r="C7" s="29">
        <v>452504</v>
      </c>
      <c r="D7" s="29">
        <v>462834</v>
      </c>
    </row>
    <row r="8" spans="1:21" x14ac:dyDescent="0.4">
      <c r="A8" s="28" t="s">
        <v>12</v>
      </c>
      <c r="B8" s="29">
        <v>758646</v>
      </c>
      <c r="C8" s="29">
        <v>371376</v>
      </c>
      <c r="D8" s="29">
        <v>387270</v>
      </c>
    </row>
    <row r="9" spans="1:21" ht="22.75" customHeight="1" x14ac:dyDescent="0.4">
      <c r="A9" s="28" t="s">
        <v>13</v>
      </c>
      <c r="B9" s="29">
        <v>577433</v>
      </c>
      <c r="C9" s="29">
        <v>284317</v>
      </c>
      <c r="D9" s="29">
        <v>293116</v>
      </c>
      <c r="I9" s="34" t="s">
        <v>88</v>
      </c>
      <c r="J9" s="35"/>
      <c r="K9" s="35"/>
      <c r="L9" s="36"/>
      <c r="Q9" s="41" t="s">
        <v>79</v>
      </c>
      <c r="R9" s="41" t="s">
        <v>89</v>
      </c>
      <c r="S9" s="41" t="s">
        <v>92</v>
      </c>
      <c r="T9" s="41" t="s">
        <v>90</v>
      </c>
    </row>
    <row r="10" spans="1:21" ht="25.75" x14ac:dyDescent="0.4">
      <c r="A10" s="28" t="s">
        <v>14</v>
      </c>
      <c r="B10" s="29">
        <v>435420</v>
      </c>
      <c r="C10" s="29">
        <v>202692</v>
      </c>
      <c r="D10" s="29">
        <v>232728</v>
      </c>
      <c r="I10" s="37" t="s">
        <v>79</v>
      </c>
      <c r="J10" s="37" t="s">
        <v>80</v>
      </c>
      <c r="K10" s="37" t="s">
        <v>81</v>
      </c>
      <c r="L10" s="37" t="s">
        <v>82</v>
      </c>
      <c r="Q10" s="38" t="s">
        <v>83</v>
      </c>
      <c r="R10" s="38">
        <v>0.45</v>
      </c>
      <c r="S10" s="39">
        <v>56000</v>
      </c>
      <c r="T10" s="38">
        <f>R10*S10</f>
        <v>25200</v>
      </c>
    </row>
    <row r="11" spans="1:21" x14ac:dyDescent="0.4">
      <c r="A11" s="28" t="s">
        <v>15</v>
      </c>
      <c r="B11" s="29">
        <v>344841</v>
      </c>
      <c r="C11" s="29">
        <v>145975</v>
      </c>
      <c r="D11" s="29">
        <v>198866</v>
      </c>
      <c r="I11" s="38" t="s">
        <v>83</v>
      </c>
      <c r="J11" s="38" t="s">
        <v>85</v>
      </c>
      <c r="K11" s="39">
        <v>3397</v>
      </c>
      <c r="L11" s="38">
        <v>0.45</v>
      </c>
      <c r="Q11" s="38" t="s">
        <v>84</v>
      </c>
      <c r="R11" s="38">
        <v>2.4</v>
      </c>
      <c r="S11" s="39">
        <v>33000</v>
      </c>
      <c r="T11" s="38">
        <f t="shared" ref="T11:T12" si="0">R11*S11</f>
        <v>79200</v>
      </c>
    </row>
    <row r="12" spans="1:21" x14ac:dyDescent="0.4">
      <c r="A12" s="28" t="s">
        <v>16</v>
      </c>
      <c r="B12" s="29">
        <v>293658</v>
      </c>
      <c r="C12" s="29">
        <v>121520</v>
      </c>
      <c r="D12" s="29">
        <v>172138</v>
      </c>
      <c r="I12" s="38" t="s">
        <v>84</v>
      </c>
      <c r="J12" s="38" t="s">
        <v>85</v>
      </c>
      <c r="K12" s="39">
        <v>3475</v>
      </c>
      <c r="L12" s="38">
        <v>2.4</v>
      </c>
      <c r="Q12" s="37" t="s">
        <v>86</v>
      </c>
      <c r="R12" s="37">
        <v>42.4</v>
      </c>
      <c r="S12" s="40">
        <v>11000</v>
      </c>
      <c r="T12" s="38">
        <f t="shared" si="0"/>
        <v>466400</v>
      </c>
    </row>
    <row r="13" spans="1:21" x14ac:dyDescent="0.4">
      <c r="A13" s="28" t="s">
        <v>17</v>
      </c>
      <c r="B13" s="29">
        <v>252841</v>
      </c>
      <c r="C13" s="29">
        <v>103817</v>
      </c>
      <c r="D13" s="29">
        <v>149024</v>
      </c>
      <c r="I13" s="38" t="s">
        <v>86</v>
      </c>
      <c r="J13" s="39">
        <v>82500</v>
      </c>
      <c r="K13" s="39">
        <v>1945</v>
      </c>
      <c r="L13" s="38">
        <v>42.4</v>
      </c>
      <c r="S13" s="43">
        <f>SUM(S10:S12)</f>
        <v>100000</v>
      </c>
      <c r="T13" s="1">
        <f>SUM(T10:T12)</f>
        <v>570800</v>
      </c>
    </row>
    <row r="14" spans="1:21" x14ac:dyDescent="0.4">
      <c r="A14" s="28" t="s">
        <v>18</v>
      </c>
      <c r="B14" s="29">
        <v>212230</v>
      </c>
      <c r="C14" s="29">
        <v>88828</v>
      </c>
      <c r="D14" s="29">
        <v>123402</v>
      </c>
      <c r="I14" s="37" t="s">
        <v>87</v>
      </c>
      <c r="J14" s="40">
        <v>92359</v>
      </c>
      <c r="K14" s="40">
        <v>8817</v>
      </c>
      <c r="L14" s="37">
        <v>10.5</v>
      </c>
    </row>
    <row r="15" spans="1:21" x14ac:dyDescent="0.4">
      <c r="A15" s="28" t="s">
        <v>19</v>
      </c>
      <c r="B15" s="29">
        <v>169584</v>
      </c>
      <c r="C15" s="29">
        <v>74370</v>
      </c>
      <c r="D15" s="29">
        <v>95214</v>
      </c>
      <c r="S15" s="44" t="s">
        <v>93</v>
      </c>
      <c r="T15" s="45">
        <f>T13/S13</f>
        <v>5.7080000000000002</v>
      </c>
      <c r="U15" s="44"/>
    </row>
    <row r="16" spans="1:21" x14ac:dyDescent="0.4">
      <c r="A16" s="28" t="s">
        <v>20</v>
      </c>
      <c r="B16" s="29">
        <v>125850</v>
      </c>
      <c r="C16" s="29">
        <v>56617</v>
      </c>
      <c r="D16" s="29">
        <v>69233</v>
      </c>
    </row>
    <row r="17" spans="1:20" x14ac:dyDescent="0.4">
      <c r="A17" s="28" t="s">
        <v>21</v>
      </c>
      <c r="B17" s="29">
        <v>81866</v>
      </c>
      <c r="C17" s="29">
        <v>37969</v>
      </c>
      <c r="D17" s="29">
        <v>43897</v>
      </c>
      <c r="R17" t="s">
        <v>78</v>
      </c>
    </row>
    <row r="18" spans="1:20" ht="25.75" x14ac:dyDescent="0.4">
      <c r="A18" s="28" t="s">
        <v>22</v>
      </c>
      <c r="B18" s="29">
        <v>44501</v>
      </c>
      <c r="C18" s="29">
        <v>20906</v>
      </c>
      <c r="D18" s="29">
        <v>23595</v>
      </c>
      <c r="Q18" s="37" t="s">
        <v>79</v>
      </c>
      <c r="R18" s="41" t="s">
        <v>94</v>
      </c>
      <c r="S18" s="41" t="s">
        <v>92</v>
      </c>
      <c r="T18" s="41" t="s">
        <v>90</v>
      </c>
    </row>
    <row r="19" spans="1:20" x14ac:dyDescent="0.4">
      <c r="A19" s="28" t="s">
        <v>23</v>
      </c>
      <c r="B19" s="29">
        <v>18010</v>
      </c>
      <c r="C19" s="29">
        <v>8469</v>
      </c>
      <c r="D19" s="29">
        <v>9541</v>
      </c>
      <c r="Q19" s="38" t="s">
        <v>83</v>
      </c>
      <c r="R19" s="38">
        <v>2.2000000000000002</v>
      </c>
      <c r="S19" s="39">
        <v>56000</v>
      </c>
      <c r="T19">
        <v>123200</v>
      </c>
    </row>
    <row r="20" spans="1:20" x14ac:dyDescent="0.4">
      <c r="A20" s="28" t="s">
        <v>41</v>
      </c>
      <c r="B20" s="29">
        <v>5106</v>
      </c>
      <c r="C20" s="29">
        <v>2360</v>
      </c>
      <c r="D20" s="29">
        <v>2746</v>
      </c>
      <c r="Q20" s="38" t="s">
        <v>84</v>
      </c>
      <c r="R20" s="38">
        <v>3.7</v>
      </c>
      <c r="S20" s="39">
        <v>33000</v>
      </c>
      <c r="T20">
        <v>122100</v>
      </c>
    </row>
    <row r="21" spans="1:20" x14ac:dyDescent="0.4">
      <c r="A21" s="28" t="s">
        <v>42</v>
      </c>
      <c r="B21" s="29">
        <v>1028</v>
      </c>
      <c r="C21" s="29">
        <v>462</v>
      </c>
      <c r="D21" s="29">
        <v>566</v>
      </c>
      <c r="Q21" s="38" t="s">
        <v>86</v>
      </c>
      <c r="R21" s="38">
        <v>48.7</v>
      </c>
      <c r="S21" s="40">
        <v>11000</v>
      </c>
      <c r="T21">
        <v>535700</v>
      </c>
    </row>
    <row r="22" spans="1:20" x14ac:dyDescent="0.4">
      <c r="A22" s="28" t="s">
        <v>43</v>
      </c>
      <c r="B22" s="29">
        <v>115</v>
      </c>
      <c r="C22" s="29">
        <v>50</v>
      </c>
      <c r="D22" s="29">
        <v>65</v>
      </c>
      <c r="S22" s="43">
        <f>SUM(S19:S21)</f>
        <v>100000</v>
      </c>
      <c r="T22" s="1">
        <f>SUM(T19:T21)</f>
        <v>781000</v>
      </c>
    </row>
    <row r="23" spans="1:20" x14ac:dyDescent="0.4">
      <c r="A23" s="28" t="s">
        <v>75</v>
      </c>
      <c r="B23" s="29">
        <v>6</v>
      </c>
      <c r="C23" s="29">
        <v>3</v>
      </c>
      <c r="D23" s="29">
        <v>3</v>
      </c>
    </row>
    <row r="24" spans="1:20" x14ac:dyDescent="0.4">
      <c r="S24" s="44" t="s">
        <v>93</v>
      </c>
      <c r="T24" s="45">
        <f>T22/S22</f>
        <v>7.81</v>
      </c>
    </row>
  </sheetData>
  <mergeCells count="2">
    <mergeCell ref="I1:L1"/>
    <mergeCell ref="I9:L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India-Pop-2011</vt:lpstr>
      <vt:lpstr>UK-Pop-2010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Shivakumar Jolad</dc:creator>
  <cp:lastModifiedBy>Shivakumar Jolad</cp:lastModifiedBy>
  <dcterms:created xsi:type="dcterms:W3CDTF">2024-01-24T10:48:08Z</dcterms:created>
  <dcterms:modified xsi:type="dcterms:W3CDTF">2024-02-03T05:56:26Z</dcterms:modified>
</cp:coreProperties>
</file>