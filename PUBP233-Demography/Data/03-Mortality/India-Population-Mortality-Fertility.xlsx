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kumar/Dropbox/FLAME/Courses/DemographyCourse/Data/"/>
    </mc:Choice>
  </mc:AlternateContent>
  <xr:revisionPtr revIDLastSave="0" documentId="13_ncr:1_{D3EF231E-D4C0-BE43-ACA0-32825EE5F259}" xr6:coauthVersionLast="45" xr6:coauthVersionMax="45" xr10:uidLastSave="{00000000-0000-0000-0000-000000000000}"/>
  <bookViews>
    <workbookView xWindow="0" yWindow="880" windowWidth="27640" windowHeight="15760" activeTab="1" xr2:uid="{6FB6509E-F005-B446-9E75-0DDDE6D77FD2}"/>
  </bookViews>
  <sheets>
    <sheet name="Sheet1" sheetId="1" r:id="rId1"/>
    <sheet name="Fertility Exercise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3" i="3" l="1"/>
  <c r="Q9" i="3"/>
  <c r="Q10" i="3"/>
  <c r="Q11" i="3"/>
  <c r="Q12" i="3"/>
  <c r="Q13" i="3"/>
  <c r="Q14" i="3"/>
  <c r="Q8" i="3"/>
  <c r="O8" i="3"/>
  <c r="N8" i="3"/>
  <c r="M23" i="3"/>
  <c r="N9" i="3"/>
  <c r="N10" i="3"/>
  <c r="N11" i="3"/>
  <c r="N12" i="3"/>
  <c r="N23" i="3" s="1"/>
  <c r="N13" i="3"/>
  <c r="N14" i="3"/>
  <c r="M9" i="3"/>
  <c r="M10" i="3"/>
  <c r="M11" i="3"/>
  <c r="M12" i="3"/>
  <c r="M13" i="3"/>
  <c r="M14" i="3"/>
  <c r="M8" i="3"/>
  <c r="H38" i="3"/>
  <c r="G38" i="3"/>
  <c r="I8" i="3"/>
  <c r="K8" i="3"/>
  <c r="J23" i="3"/>
  <c r="I23" i="3"/>
  <c r="J8" i="3"/>
  <c r="I9" i="3"/>
  <c r="I10" i="3"/>
  <c r="I11" i="3"/>
  <c r="I12" i="3"/>
  <c r="I13" i="3"/>
  <c r="I14" i="3"/>
  <c r="S9" i="3"/>
  <c r="S10" i="3"/>
  <c r="S11" i="3"/>
  <c r="S12" i="3"/>
  <c r="S23" i="3" s="1"/>
  <c r="S13" i="3"/>
  <c r="S14" i="3"/>
  <c r="S8" i="3"/>
  <c r="R8" i="3"/>
  <c r="R9" i="3"/>
  <c r="R10" i="3"/>
  <c r="R11" i="3"/>
  <c r="R12" i="3"/>
  <c r="R23" i="3" s="1"/>
  <c r="R13" i="3"/>
  <c r="R14" i="3"/>
  <c r="O23" i="3"/>
  <c r="O9" i="3"/>
  <c r="O10" i="3"/>
  <c r="O11" i="3"/>
  <c r="O12" i="3"/>
  <c r="O13" i="3"/>
  <c r="O1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1"/>
  <c r="K23" i="3"/>
  <c r="K9" i="3" l="1"/>
  <c r="K10" i="3"/>
  <c r="K11" i="3"/>
  <c r="K12" i="3"/>
  <c r="K13" i="3"/>
  <c r="K14" i="3"/>
  <c r="J9" i="3"/>
  <c r="J10" i="3"/>
  <c r="J11" i="3"/>
  <c r="J12" i="3"/>
  <c r="J13" i="3"/>
  <c r="J14" i="3"/>
  <c r="B24" i="1"/>
  <c r="B45" i="2" l="1"/>
  <c r="G27" i="2"/>
  <c r="F44" i="2"/>
  <c r="G44" i="2" s="1"/>
  <c r="K44" i="2" s="1"/>
  <c r="F43" i="2"/>
  <c r="G43" i="2" s="1"/>
  <c r="K43" i="2" s="1"/>
  <c r="F42" i="2"/>
  <c r="G42" i="2" s="1"/>
  <c r="K42" i="2" s="1"/>
  <c r="F41" i="2"/>
  <c r="G41" i="2" s="1"/>
  <c r="K41" i="2" s="1"/>
  <c r="F40" i="2"/>
  <c r="G40" i="2" s="1"/>
  <c r="K40" i="2" s="1"/>
  <c r="F39" i="2"/>
  <c r="G39" i="2" s="1"/>
  <c r="K39" i="2" s="1"/>
  <c r="F38" i="2"/>
  <c r="G38" i="2" s="1"/>
  <c r="K38" i="2" s="1"/>
  <c r="F37" i="2"/>
  <c r="G37" i="2" s="1"/>
  <c r="K37" i="2" s="1"/>
  <c r="F36" i="2"/>
  <c r="G36" i="2" s="1"/>
  <c r="K36" i="2" s="1"/>
  <c r="F35" i="2"/>
  <c r="G35" i="2" s="1"/>
  <c r="F34" i="2"/>
  <c r="G34" i="2" s="1"/>
  <c r="F33" i="2"/>
  <c r="G33" i="2" s="1"/>
  <c r="F32" i="2"/>
  <c r="G32" i="2" s="1"/>
  <c r="K32" i="2" s="1"/>
  <c r="F31" i="2"/>
  <c r="G31" i="2" s="1"/>
  <c r="K31" i="2" s="1"/>
  <c r="F30" i="2"/>
  <c r="G30" i="2" s="1"/>
  <c r="G29" i="2"/>
  <c r="K29" i="2" s="1"/>
  <c r="F29" i="2"/>
  <c r="F28" i="2"/>
  <c r="G28" i="2" s="1"/>
  <c r="K28" i="2" s="1"/>
  <c r="F27" i="2"/>
  <c r="G22" i="2"/>
  <c r="B22" i="2"/>
  <c r="F2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4" i="2"/>
  <c r="G4" i="2"/>
  <c r="I22" i="2"/>
  <c r="H22" i="2"/>
  <c r="H7" i="2"/>
  <c r="I8" i="2"/>
  <c r="I9" i="2"/>
  <c r="I10" i="2"/>
  <c r="I11" i="2"/>
  <c r="I12" i="2"/>
  <c r="I13" i="2"/>
  <c r="I7" i="2"/>
  <c r="H8" i="2"/>
  <c r="H9" i="2"/>
  <c r="H10" i="2"/>
  <c r="H11" i="2"/>
  <c r="H12" i="2"/>
  <c r="H13" i="2"/>
  <c r="G21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5" i="2"/>
  <c r="F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5" i="2"/>
  <c r="U27" i="1"/>
  <c r="U18" i="1"/>
  <c r="C27" i="1"/>
  <c r="C24" i="1"/>
  <c r="D24" i="1"/>
  <c r="K35" i="2" l="1"/>
  <c r="K34" i="2"/>
  <c r="K30" i="2"/>
  <c r="K33" i="2"/>
  <c r="W19" i="1"/>
  <c r="W20" i="1"/>
  <c r="W21" i="1"/>
  <c r="W22" i="1"/>
  <c r="W23" i="1"/>
  <c r="W24" i="1"/>
  <c r="W18" i="1"/>
  <c r="V19" i="1"/>
  <c r="V20" i="1"/>
  <c r="V21" i="1"/>
  <c r="V22" i="1"/>
  <c r="V23" i="1"/>
  <c r="V24" i="1"/>
  <c r="V18" i="1"/>
  <c r="U19" i="1"/>
  <c r="U20" i="1"/>
  <c r="U21" i="1"/>
  <c r="U22" i="1"/>
  <c r="U23" i="1"/>
  <c r="U24" i="1"/>
  <c r="I45" i="2" l="1"/>
  <c r="H45" i="2"/>
  <c r="W26" i="1"/>
  <c r="W27" i="1" s="1"/>
  <c r="V26" i="1"/>
  <c r="V27" i="1" s="1"/>
  <c r="U26" i="1"/>
  <c r="K27" i="2" l="1"/>
  <c r="G45" i="2"/>
</calcChain>
</file>

<file path=xl/sharedStrings.xml><?xml version="1.0" encoding="utf-8"?>
<sst xmlns="http://schemas.openxmlformats.org/spreadsheetml/2006/main" count="233" uniqueCount="91">
  <si>
    <t>Census 2011</t>
  </si>
  <si>
    <t>SRS data 2014</t>
  </si>
  <si>
    <t>All India</t>
  </si>
  <si>
    <t>Life Table</t>
  </si>
  <si>
    <t xml:space="preserve">Total </t>
  </si>
  <si>
    <t>Age-Interval</t>
  </si>
  <si>
    <t>Total</t>
  </si>
  <si>
    <t>Male</t>
  </si>
  <si>
    <t>Female</t>
  </si>
  <si>
    <t>Age group</t>
  </si>
  <si>
    <t>Persons</t>
  </si>
  <si>
    <t>Males</t>
  </si>
  <si>
    <t>Females</t>
  </si>
  <si>
    <t>x to xx+n</t>
  </si>
  <si>
    <t>nqx</t>
  </si>
  <si>
    <t>lx</t>
  </si>
  <si>
    <t>nLx</t>
  </si>
  <si>
    <t>ex</t>
  </si>
  <si>
    <t>Age Groups</t>
  </si>
  <si>
    <t>Rural</t>
  </si>
  <si>
    <t>Urban</t>
  </si>
  <si>
    <t>0-4</t>
  </si>
  <si>
    <t>5-9</t>
  </si>
  <si>
    <t>5-10</t>
  </si>
  <si>
    <t>10-14</t>
  </si>
  <si>
    <t>10-15</t>
  </si>
  <si>
    <t>15-19</t>
  </si>
  <si>
    <t>15-20</t>
  </si>
  <si>
    <t>20-24</t>
  </si>
  <si>
    <t>20-25</t>
  </si>
  <si>
    <t>25-29</t>
  </si>
  <si>
    <t>25-30</t>
  </si>
  <si>
    <t>30-34</t>
  </si>
  <si>
    <t>30-35</t>
  </si>
  <si>
    <t>35-39</t>
  </si>
  <si>
    <t>35-40</t>
  </si>
  <si>
    <t>40-44</t>
  </si>
  <si>
    <t>40-45</t>
  </si>
  <si>
    <t>45-49</t>
  </si>
  <si>
    <t>45-50</t>
  </si>
  <si>
    <t>50-54</t>
  </si>
  <si>
    <t>50-55</t>
  </si>
  <si>
    <t>55-59</t>
  </si>
  <si>
    <t>55-60</t>
  </si>
  <si>
    <t>60-64</t>
  </si>
  <si>
    <t>60-65</t>
  </si>
  <si>
    <t>65-69</t>
  </si>
  <si>
    <t>65-70</t>
  </si>
  <si>
    <t>70-74</t>
  </si>
  <si>
    <t>70-75</t>
  </si>
  <si>
    <t>75-79</t>
  </si>
  <si>
    <t>75-80</t>
  </si>
  <si>
    <t>80-84</t>
  </si>
  <si>
    <t>80+85</t>
  </si>
  <si>
    <t>85+</t>
  </si>
  <si>
    <t>sum</t>
  </si>
  <si>
    <t>TFR</t>
  </si>
  <si>
    <t>ASFRs (Age Specific Fertility Rates- PER 1000) -by residence, India, 2013</t>
  </si>
  <si>
    <t>ASFR</t>
  </si>
  <si>
    <t>S(x,n)</t>
  </si>
  <si>
    <t>N^F(t+5)</t>
  </si>
  <si>
    <t>B(0)</t>
  </si>
  <si>
    <t>B^F</t>
  </si>
  <si>
    <t>DIFF</t>
  </si>
  <si>
    <t>MALE</t>
  </si>
  <si>
    <t>Saksham and Vansh </t>
  </si>
  <si>
    <t>Content</t>
  </si>
  <si>
    <t>Contextualisation</t>
  </si>
  <si>
    <t>Visual Aesthetics</t>
  </si>
  <si>
    <t>2.5/5</t>
  </si>
  <si>
    <t>Organisation and Coherence</t>
  </si>
  <si>
    <t>17.5/30</t>
  </si>
  <si>
    <t>Comments (SKJ)</t>
  </si>
  <si>
    <t>Very brief. Hardly any details covered. show no understanding of the topic</t>
  </si>
  <si>
    <t xml:space="preserve">Visual Essay: Components </t>
  </si>
  <si>
    <t>6/10</t>
  </si>
  <si>
    <t>3/5</t>
  </si>
  <si>
    <t>ASFRs (Age Specific Fertility Rates)-by residence, India, 2013</t>
  </si>
  <si>
    <t>SRB</t>
  </si>
  <si>
    <t>Sex ratio (M/F*100)</t>
  </si>
  <si>
    <t>GRR</t>
  </si>
  <si>
    <t>NRR</t>
  </si>
  <si>
    <r>
      <t xml:space="preserve">Age Speciifc </t>
    </r>
    <r>
      <rPr>
        <b/>
        <sz val="12"/>
        <color rgb="FFFF0000"/>
        <rFont val="Calibri"/>
        <family val="2"/>
        <scheme val="minor"/>
      </rPr>
      <t>Maternity rate</t>
    </r>
    <r>
      <rPr>
        <sz val="12"/>
        <color rgb="FFFF0000"/>
        <rFont val="Calibri"/>
        <family val="2"/>
        <scheme val="minor"/>
      </rPr>
      <t xml:space="preserve"> (ASMR)</t>
    </r>
  </si>
  <si>
    <t>SRS</t>
  </si>
  <si>
    <t>M</t>
  </si>
  <si>
    <t>F</t>
  </si>
  <si>
    <t>SEXT RATIO</t>
  </si>
  <si>
    <t>M/F</t>
  </si>
  <si>
    <t>M/(M+F)</t>
  </si>
  <si>
    <t>1/(1+SRB)*BIRTHS</t>
  </si>
  <si>
    <t>SRB/(1+SRB)*BIRTHS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</si>
</sst>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000"/>
  </numFmts>
  <fonts count="1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1" fontId="2" fillId="0" borderId="0" xfId="0" applyNumberFormat="1" applyFont="1"/>
    <xf numFmtId="43" fontId="0" fillId="0" borderId="0" xfId="1" applyFont="1"/>
    <xf numFmtId="164" fontId="0" fillId="0" borderId="0" xfId="1" applyNumberFormat="1" applyFont="1"/>
    <xf numFmtId="165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16" fontId="6" fillId="0" borderId="0" xfId="0" applyNumberFormat="1" applyFont="1"/>
    <xf numFmtId="0" fontId="6" fillId="0" borderId="0" xfId="0" applyFont="1"/>
    <xf numFmtId="0" fontId="0" fillId="0" borderId="0" xfId="0" applyAlignment="1"/>
    <xf numFmtId="0" fontId="5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/>
    <xf numFmtId="49" fontId="7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166" fontId="0" fillId="0" borderId="0" xfId="0" applyNumberFormat="1"/>
    <xf numFmtId="2" fontId="2" fillId="0" borderId="0" xfId="0" applyNumberFormat="1" applyFont="1"/>
    <xf numFmtId="0" fontId="8" fillId="0" borderId="0" xfId="0" applyFont="1"/>
    <xf numFmtId="3" fontId="0" fillId="0" borderId="0" xfId="0" applyNumberFormat="1"/>
    <xf numFmtId="0" fontId="1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647699</xdr:colOff>
      <xdr:row>25</xdr:row>
      <xdr:rowOff>0</xdr:rowOff>
    </xdr:from>
    <xdr:to>
      <xdr:col>14</xdr:col>
      <xdr:colOff>365376</xdr:colOff>
      <xdr:row>30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BE6A5-903E-424A-BEE3-55DB407C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699" y="5080000"/>
          <a:ext cx="6321677" cy="11557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oneCellAnchor>
    <xdr:from>
      <xdr:col>8</xdr:col>
      <xdr:colOff>781050</xdr:colOff>
      <xdr:row>3</xdr:row>
      <xdr:rowOff>171450</xdr:rowOff>
    </xdr:from>
    <xdr:ext cx="745845" cy="2816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3A1B2EA-3718-814B-B331-1A59A57A8AB1}"/>
                </a:ext>
              </a:extLst>
            </xdr:cNvPr>
            <xdr:cNvSpPr txBox="1"/>
          </xdr:nvSpPr>
          <xdr:spPr>
            <a:xfrm>
              <a:off x="7385050" y="781050"/>
              <a:ext cx="745845" cy="281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3A1B2EA-3718-814B-B331-1A59A57A8AB1}"/>
                </a:ext>
              </a:extLst>
            </xdr:cNvPr>
            <xdr:cNvSpPr txBox="1"/>
          </xdr:nvSpPr>
          <xdr:spPr>
            <a:xfrm>
              <a:off x="7385050" y="781050"/>
              <a:ext cx="745845" cy="281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𝐹(𝑥,𝑛)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400050</xdr:colOff>
      <xdr:row>3</xdr:row>
      <xdr:rowOff>196850</xdr:rowOff>
    </xdr:from>
    <xdr:ext cx="859851" cy="2952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33FC27-A597-1941-8384-F64CFAB9568C}"/>
                </a:ext>
              </a:extLst>
            </xdr:cNvPr>
            <xdr:cNvSpPr txBox="1"/>
          </xdr:nvSpPr>
          <xdr:spPr>
            <a:xfrm>
              <a:off x="10306050" y="806450"/>
              <a:ext cx="859851" cy="295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𝑓</m:t>
                        </m:r>
                      </m:sup>
                    </m:sSup>
                    <m:r>
                      <a:rPr lang="en-US" sz="18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33FC27-A597-1941-8384-F64CFAB9568C}"/>
                </a:ext>
              </a:extLst>
            </xdr:cNvPr>
            <xdr:cNvSpPr txBox="1"/>
          </xdr:nvSpPr>
          <xdr:spPr>
            <a:xfrm>
              <a:off x="10306050" y="806450"/>
              <a:ext cx="859851" cy="295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𝐹^𝑓 (𝑥,𝑛)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755650</xdr:colOff>
      <xdr:row>3</xdr:row>
      <xdr:rowOff>31750</xdr:rowOff>
    </xdr:from>
    <xdr:ext cx="1744965" cy="5866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E6884AA-3FA5-D648-A990-90CD1F06BBEA}"/>
                </a:ext>
              </a:extLst>
            </xdr:cNvPr>
            <xdr:cNvSpPr txBox="1"/>
          </xdr:nvSpPr>
          <xdr:spPr>
            <a:xfrm>
              <a:off x="13963650" y="641350"/>
              <a:ext cx="1744965" cy="586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𝑓</m:t>
                        </m:r>
                      </m:sup>
                    </m:sSup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𝐿</m:t>
                        </m:r>
                        <m:d>
                          <m:d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d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(0)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E6884AA-3FA5-D648-A990-90CD1F06BBEA}"/>
                </a:ext>
              </a:extLst>
            </xdr:cNvPr>
            <xdr:cNvSpPr txBox="1"/>
          </xdr:nvSpPr>
          <xdr:spPr>
            <a:xfrm>
              <a:off x="13963650" y="641350"/>
              <a:ext cx="1744965" cy="586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𝐹^𝑓 (𝑥,𝑛)∗𝐿(𝑥,𝑛)/(𝑙(0))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400050</xdr:colOff>
      <xdr:row>15</xdr:row>
      <xdr:rowOff>95250</xdr:rowOff>
    </xdr:from>
    <xdr:ext cx="1811330" cy="4483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7ADEE9B-7433-4041-B663-55BE21400591}"/>
                </a:ext>
              </a:extLst>
            </xdr:cNvPr>
            <xdr:cNvSpPr txBox="1"/>
          </xdr:nvSpPr>
          <xdr:spPr>
            <a:xfrm>
              <a:off x="13608050" y="3143250"/>
              <a:ext cx="1811330" cy="448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800" b="0" i="1">
                          <a:latin typeface="Cambria Math" panose="02040503050406030204" pitchFamily="18" charset="0"/>
                        </a:rPr>
                        <m:t>∑(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𝑓</m:t>
                      </m:r>
                    </m:sup>
                  </m:sSup>
                  <m:d>
                    <m:dPr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𝑛</m:t>
                      </m:r>
                    </m:e>
                  </m:d>
                  <m:r>
                    <a:rPr lang="en-US" sz="1800" b="0" i="1">
                      <a:latin typeface="Cambria Math" panose="02040503050406030204" pitchFamily="18" charset="0"/>
                    </a:rPr>
                    <m:t>∗</m:t>
                  </m:r>
                  <m:f>
                    <m:fPr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𝐿</m:t>
                      </m:r>
                      <m:d>
                        <m:dPr>
                          <m:ctrlPr>
                            <a:rPr lang="en-US" sz="18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𝑥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e>
                      </m:d>
                    </m:num>
                    <m:den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𝑙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(0)</m:t>
                      </m:r>
                    </m:den>
                  </m:f>
                </m:oMath>
              </a14:m>
              <a:r>
                <a:rPr lang="en-GB" sz="1100"/>
                <a:t>)</a:t>
              </a: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7ADEE9B-7433-4041-B663-55BE21400591}"/>
                </a:ext>
              </a:extLst>
            </xdr:cNvPr>
            <xdr:cNvSpPr txBox="1"/>
          </xdr:nvSpPr>
          <xdr:spPr>
            <a:xfrm>
              <a:off x="13608050" y="3143250"/>
              <a:ext cx="1811330" cy="448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〖∑(𝐹〗^𝑓 (𝑥,𝑛)∗𝐿(𝑥,𝑛)/(𝑙(0))</a:t>
              </a:r>
              <a:r>
                <a:rPr lang="en-GB" sz="1100"/>
                <a:t>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2C76-0E1D-DA4B-ADAD-E8B7E6A11821}">
  <dimension ref="A1:W32"/>
  <sheetViews>
    <sheetView workbookViewId="0">
      <selection activeCell="G32" sqref="G32"/>
    </sheetView>
  </sheetViews>
  <sheetFormatPr baseColWidth="10" defaultRowHeight="16"/>
  <cols>
    <col min="2" max="2" width="15.5" customWidth="1"/>
    <col min="3" max="3" width="13.1640625" customWidth="1"/>
    <col min="4" max="4" width="13.83203125" customWidth="1"/>
  </cols>
  <sheetData>
    <row r="1" spans="1:23">
      <c r="A1" s="1" t="s">
        <v>0</v>
      </c>
      <c r="F1" s="1" t="s">
        <v>1</v>
      </c>
    </row>
    <row r="2" spans="1:23">
      <c r="A2">
        <v>2011</v>
      </c>
      <c r="B2" t="s">
        <v>2</v>
      </c>
      <c r="J2" t="s">
        <v>3</v>
      </c>
    </row>
    <row r="3" spans="1:23">
      <c r="B3" t="s">
        <v>4</v>
      </c>
      <c r="F3" t="s">
        <v>5</v>
      </c>
      <c r="G3" s="23" t="s">
        <v>6</v>
      </c>
      <c r="H3" s="23"/>
      <c r="I3" s="23"/>
      <c r="J3" s="23"/>
      <c r="K3" s="24" t="s">
        <v>7</v>
      </c>
      <c r="L3" s="24"/>
      <c r="M3" s="24"/>
      <c r="N3" s="24"/>
      <c r="O3" s="24" t="s">
        <v>8</v>
      </c>
      <c r="P3" s="24"/>
      <c r="Q3" s="24"/>
      <c r="R3" s="24"/>
      <c r="T3" s="1" t="s">
        <v>57</v>
      </c>
    </row>
    <row r="4" spans="1:23">
      <c r="A4" s="4" t="s">
        <v>9</v>
      </c>
      <c r="B4" t="s">
        <v>10</v>
      </c>
      <c r="C4" s="4" t="s">
        <v>11</v>
      </c>
      <c r="D4" s="4" t="s">
        <v>12</v>
      </c>
      <c r="E4" s="4" t="s">
        <v>79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14</v>
      </c>
      <c r="L4" t="s">
        <v>15</v>
      </c>
      <c r="M4" s="4" t="s">
        <v>16</v>
      </c>
      <c r="N4" t="s">
        <v>17</v>
      </c>
      <c r="O4" t="s">
        <v>14</v>
      </c>
      <c r="P4" t="s">
        <v>15</v>
      </c>
      <c r="Q4" s="4" t="s">
        <v>16</v>
      </c>
      <c r="R4" t="s">
        <v>17</v>
      </c>
      <c r="T4" t="s">
        <v>18</v>
      </c>
      <c r="U4" t="s">
        <v>6</v>
      </c>
      <c r="V4" t="s">
        <v>19</v>
      </c>
      <c r="W4" t="s">
        <v>20</v>
      </c>
    </row>
    <row r="5" spans="1:23">
      <c r="A5" s="4" t="s">
        <v>21</v>
      </c>
      <c r="B5">
        <v>112806778</v>
      </c>
      <c r="C5" s="4">
        <v>58632074</v>
      </c>
      <c r="D5" s="4">
        <v>54174704</v>
      </c>
      <c r="E5" s="3">
        <f>C5/D5*100</f>
        <v>108.22776992007192</v>
      </c>
      <c r="F5" t="s">
        <v>21</v>
      </c>
      <c r="G5">
        <v>5.3577963531349762E-2</v>
      </c>
      <c r="H5" s="2">
        <v>100000</v>
      </c>
      <c r="I5" s="2">
        <v>476480.30852842855</v>
      </c>
      <c r="J5" s="3">
        <v>67.909908696250199</v>
      </c>
      <c r="K5">
        <v>5.0533682334867727E-2</v>
      </c>
      <c r="L5" s="2">
        <v>100000</v>
      </c>
      <c r="M5" s="5">
        <v>477445.5233539762</v>
      </c>
      <c r="N5" s="3">
        <v>66.350017386058298</v>
      </c>
      <c r="O5">
        <v>5.696118522317084E-2</v>
      </c>
      <c r="P5" s="2">
        <v>100000</v>
      </c>
      <c r="Q5" s="5">
        <v>475376.45057881949</v>
      </c>
      <c r="R5" s="3">
        <v>69.623127908634203</v>
      </c>
    </row>
    <row r="6" spans="1:23">
      <c r="A6" s="4" t="s">
        <v>22</v>
      </c>
      <c r="B6">
        <v>126928126</v>
      </c>
      <c r="C6" s="4">
        <v>66300466</v>
      </c>
      <c r="D6" s="4">
        <v>60627660</v>
      </c>
      <c r="E6" s="3">
        <f t="shared" ref="E6:E22" si="0">C6/D6*100</f>
        <v>109.35679523174736</v>
      </c>
      <c r="F6" t="s">
        <v>23</v>
      </c>
      <c r="G6">
        <v>4.3903412492516504E-3</v>
      </c>
      <c r="H6" s="2">
        <v>94642.203646865004</v>
      </c>
      <c r="I6" s="2">
        <v>472172.23930784798</v>
      </c>
      <c r="J6" s="3">
        <v>66.719817563184506</v>
      </c>
      <c r="K6">
        <v>4.2907748341066698E-3</v>
      </c>
      <c r="L6" s="2">
        <v>94946.631766513194</v>
      </c>
      <c r="M6" s="5">
        <v>473714.67228714901</v>
      </c>
      <c r="N6" s="3">
        <v>64.852813635286495</v>
      </c>
      <c r="O6">
        <v>4.4401207313726999E-3</v>
      </c>
      <c r="P6" s="2">
        <v>94303.881477682895</v>
      </c>
      <c r="Q6" s="5">
        <v>470472.60584042</v>
      </c>
      <c r="R6" s="3">
        <v>68.787585819781299</v>
      </c>
    </row>
    <row r="7" spans="1:23">
      <c r="A7" s="4" t="s">
        <v>24</v>
      </c>
      <c r="B7">
        <v>132709212</v>
      </c>
      <c r="C7" s="4">
        <v>69418835</v>
      </c>
      <c r="D7" s="4">
        <v>63290377</v>
      </c>
      <c r="E7" s="3">
        <f t="shared" si="0"/>
        <v>109.68308025720876</v>
      </c>
      <c r="F7" t="s">
        <v>25</v>
      </c>
      <c r="G7">
        <v>3.5437099149010498E-3</v>
      </c>
      <c r="H7" s="2">
        <v>94226.692076274107</v>
      </c>
      <c r="I7" s="2">
        <v>470298.680223973</v>
      </c>
      <c r="J7" s="3">
        <v>62.003007778937203</v>
      </c>
      <c r="K7">
        <v>3.79279369198523E-3</v>
      </c>
      <c r="L7" s="2">
        <v>94539.237148346307</v>
      </c>
      <c r="M7" s="5">
        <v>471799.76618597802</v>
      </c>
      <c r="N7" s="3">
        <v>60.121508427721899</v>
      </c>
      <c r="O7">
        <v>3.24472731810807E-3</v>
      </c>
      <c r="P7" s="2">
        <v>93885.160858484902</v>
      </c>
      <c r="Q7" s="5">
        <v>468664.22492691898</v>
      </c>
      <c r="R7" s="3">
        <v>64.083223370229106</v>
      </c>
    </row>
    <row r="8" spans="1:23">
      <c r="A8" s="4" t="s">
        <v>26</v>
      </c>
      <c r="B8">
        <v>120526449</v>
      </c>
      <c r="C8" s="4">
        <v>63982396</v>
      </c>
      <c r="D8" s="4">
        <v>56544053</v>
      </c>
      <c r="E8" s="3">
        <f t="shared" si="0"/>
        <v>113.15495194516743</v>
      </c>
      <c r="F8" t="s">
        <v>27</v>
      </c>
      <c r="G8">
        <v>5.7346473210631403E-3</v>
      </c>
      <c r="H8" s="2">
        <v>93892.780013315103</v>
      </c>
      <c r="I8" s="2">
        <v>468210.41684393701</v>
      </c>
      <c r="J8" s="3">
        <v>57.214619066588</v>
      </c>
      <c r="K8">
        <v>5.5854182430911201E-3</v>
      </c>
      <c r="L8" s="2">
        <v>94180.669326044896</v>
      </c>
      <c r="M8" s="5">
        <v>469677.16839305701</v>
      </c>
      <c r="N8" s="3">
        <v>55.340886978994703</v>
      </c>
      <c r="O8">
        <v>5.9833223345854801E-3</v>
      </c>
      <c r="P8" s="2">
        <v>93580.5291122825</v>
      </c>
      <c r="Q8" s="5">
        <v>466602.05826653802</v>
      </c>
      <c r="R8" s="3">
        <v>59.283694611950096</v>
      </c>
      <c r="T8" t="s">
        <v>26</v>
      </c>
      <c r="U8">
        <v>28.1</v>
      </c>
      <c r="V8">
        <v>31.7</v>
      </c>
      <c r="W8">
        <v>16.5</v>
      </c>
    </row>
    <row r="9" spans="1:23">
      <c r="A9" s="4" t="s">
        <v>28</v>
      </c>
      <c r="B9">
        <v>111424222</v>
      </c>
      <c r="C9" s="4">
        <v>57584693</v>
      </c>
      <c r="D9" s="4">
        <v>53839529</v>
      </c>
      <c r="E9" s="3">
        <f t="shared" si="0"/>
        <v>106.95616040771827</v>
      </c>
      <c r="F9" t="s">
        <v>29</v>
      </c>
      <c r="G9">
        <v>8.1677322683303497E-3</v>
      </c>
      <c r="H9" s="2">
        <v>93354.338033944601</v>
      </c>
      <c r="I9" s="2">
        <v>464934.90191979799</v>
      </c>
      <c r="J9" s="3">
        <v>52.529205690878001</v>
      </c>
      <c r="K9">
        <v>8.6145952186637703E-3</v>
      </c>
      <c r="L9" s="2">
        <v>93654.630897444702</v>
      </c>
      <c r="M9" s="5">
        <v>466356.49452881399</v>
      </c>
      <c r="N9" s="3">
        <v>50.636733741214897</v>
      </c>
      <c r="O9">
        <v>7.6710425395028203E-3</v>
      </c>
      <c r="P9" s="2">
        <v>93020.606642362603</v>
      </c>
      <c r="Q9" s="5">
        <v>463353.91597657301</v>
      </c>
      <c r="R9" s="3">
        <v>54.624428227892103</v>
      </c>
      <c r="T9" t="s">
        <v>28</v>
      </c>
      <c r="U9">
        <v>194.3</v>
      </c>
      <c r="V9">
        <v>212.8</v>
      </c>
      <c r="W9">
        <v>142.19999999999999</v>
      </c>
    </row>
    <row r="10" spans="1:23">
      <c r="A10" s="4" t="s">
        <v>30</v>
      </c>
      <c r="B10">
        <v>101413965</v>
      </c>
      <c r="C10" s="4">
        <v>51344208</v>
      </c>
      <c r="D10" s="4">
        <v>50069757</v>
      </c>
      <c r="E10" s="3">
        <f t="shared" si="0"/>
        <v>102.54535087917442</v>
      </c>
      <c r="F10" t="s">
        <v>31</v>
      </c>
      <c r="G10">
        <v>9.0100878179840398E-3</v>
      </c>
      <c r="H10" s="2">
        <v>92591.844794796096</v>
      </c>
      <c r="I10" s="2">
        <v>460917.487751526</v>
      </c>
      <c r="J10" s="3">
        <v>47.940445863656798</v>
      </c>
      <c r="K10">
        <v>1.0298473724115E-2</v>
      </c>
      <c r="L10" s="2">
        <v>92847.834161909894</v>
      </c>
      <c r="M10" s="5">
        <v>461928.00988281099</v>
      </c>
      <c r="N10" s="3">
        <v>46.053934940477603</v>
      </c>
      <c r="O10">
        <v>7.6705851776078301E-3</v>
      </c>
      <c r="P10" s="2">
        <v>92307.041611758701</v>
      </c>
      <c r="Q10" s="5">
        <v>459772.09427012003</v>
      </c>
      <c r="R10" s="3">
        <v>50.026990949365398</v>
      </c>
      <c r="T10" t="s">
        <v>30</v>
      </c>
      <c r="U10">
        <v>149.69999999999999</v>
      </c>
      <c r="V10">
        <v>159.9</v>
      </c>
      <c r="W10">
        <v>125.6</v>
      </c>
    </row>
    <row r="11" spans="1:23">
      <c r="A11" s="4" t="s">
        <v>32</v>
      </c>
      <c r="B11">
        <v>88594951</v>
      </c>
      <c r="C11" s="4">
        <v>44660674</v>
      </c>
      <c r="D11" s="4">
        <v>43934277</v>
      </c>
      <c r="E11" s="3">
        <f t="shared" si="0"/>
        <v>101.65337192188231</v>
      </c>
      <c r="F11" t="s">
        <v>33</v>
      </c>
      <c r="G11">
        <v>1.06946050400651E-2</v>
      </c>
      <c r="H11" s="2">
        <v>91757.584141965795</v>
      </c>
      <c r="I11" s="2">
        <v>456423.77759482298</v>
      </c>
      <c r="J11" s="3">
        <v>43.353112140516302</v>
      </c>
      <c r="K11">
        <v>1.3068047804055599E-2</v>
      </c>
      <c r="L11" s="2">
        <v>91891.643181452397</v>
      </c>
      <c r="M11" s="5">
        <v>456594.82353172702</v>
      </c>
      <c r="N11" s="3">
        <v>41.506278176380299</v>
      </c>
      <c r="O11">
        <v>8.1671980521727198E-3</v>
      </c>
      <c r="P11" s="2">
        <v>91598.992586582695</v>
      </c>
      <c r="Q11" s="5">
        <v>456162.87428909802</v>
      </c>
      <c r="R11" s="3">
        <v>45.394292268811498</v>
      </c>
      <c r="T11" t="s">
        <v>32</v>
      </c>
      <c r="U11">
        <v>63.9</v>
      </c>
      <c r="V11">
        <v>66.8</v>
      </c>
      <c r="W11">
        <v>57.1</v>
      </c>
    </row>
    <row r="12" spans="1:23">
      <c r="A12" s="4" t="s">
        <v>34</v>
      </c>
      <c r="B12">
        <v>85140684</v>
      </c>
      <c r="C12" s="4">
        <v>42919381</v>
      </c>
      <c r="D12" s="4">
        <v>42221303</v>
      </c>
      <c r="E12" s="3">
        <f t="shared" si="0"/>
        <v>101.65337862737206</v>
      </c>
      <c r="F12" t="s">
        <v>35</v>
      </c>
      <c r="G12">
        <v>1.42032228380295E-2</v>
      </c>
      <c r="H12" s="2">
        <v>90776.273020137</v>
      </c>
      <c r="I12" s="2">
        <v>450809.662276508</v>
      </c>
      <c r="J12" s="3">
        <v>38.793761192128898</v>
      </c>
      <c r="K12">
        <v>1.8338923806785899E-2</v>
      </c>
      <c r="L12" s="2">
        <v>90690.798795563998</v>
      </c>
      <c r="M12" s="5">
        <v>449505.85110497201</v>
      </c>
      <c r="N12" s="3">
        <v>37.021233962342599</v>
      </c>
      <c r="O12">
        <v>9.9522385948157197E-3</v>
      </c>
      <c r="P12" s="2">
        <v>90850.885472748603</v>
      </c>
      <c r="Q12" s="5">
        <v>452084.844387536</v>
      </c>
      <c r="R12" s="3">
        <v>40.747082953036802</v>
      </c>
      <c r="T12" t="s">
        <v>34</v>
      </c>
      <c r="U12">
        <v>22</v>
      </c>
      <c r="V12">
        <v>24.4</v>
      </c>
      <c r="W12">
        <v>15.8</v>
      </c>
    </row>
    <row r="13" spans="1:23">
      <c r="A13" s="4" t="s">
        <v>36</v>
      </c>
      <c r="B13">
        <v>72438112</v>
      </c>
      <c r="C13" s="4">
        <v>37545386</v>
      </c>
      <c r="D13" s="4">
        <v>34892726</v>
      </c>
      <c r="E13" s="3">
        <f t="shared" si="0"/>
        <v>107.60232949411864</v>
      </c>
      <c r="F13" t="s">
        <v>37</v>
      </c>
      <c r="G13">
        <v>1.92723795251016E-2</v>
      </c>
      <c r="H13" s="2">
        <v>89486.957386026203</v>
      </c>
      <c r="I13" s="2">
        <v>443348.74171981798</v>
      </c>
      <c r="J13" s="3">
        <v>34.314982706716599</v>
      </c>
      <c r="K13">
        <v>2.4706689628794201E-2</v>
      </c>
      <c r="L13" s="2">
        <v>89027.627146475599</v>
      </c>
      <c r="M13" s="5">
        <v>439915.590459197</v>
      </c>
      <c r="N13" s="3">
        <v>32.663786765347503</v>
      </c>
      <c r="O13">
        <v>1.3463769469091001E-2</v>
      </c>
      <c r="P13" s="2">
        <v>89946.715783973501</v>
      </c>
      <c r="Q13" s="5">
        <v>446871.52982187102</v>
      </c>
      <c r="R13" s="3">
        <v>36.130543444549403</v>
      </c>
      <c r="T13" t="s">
        <v>36</v>
      </c>
      <c r="U13">
        <v>7.4</v>
      </c>
      <c r="V13">
        <v>9.1999999999999993</v>
      </c>
      <c r="W13">
        <v>3.2</v>
      </c>
    </row>
    <row r="14" spans="1:23">
      <c r="A14" s="4" t="s">
        <v>38</v>
      </c>
      <c r="B14">
        <v>62318327</v>
      </c>
      <c r="C14" s="4">
        <v>32138114</v>
      </c>
      <c r="D14" s="4">
        <v>30180213</v>
      </c>
      <c r="E14" s="3">
        <f t="shared" si="0"/>
        <v>106.48736640791768</v>
      </c>
      <c r="F14" t="s">
        <v>39</v>
      </c>
      <c r="G14">
        <v>2.7490094640314398E-2</v>
      </c>
      <c r="H14" s="2">
        <v>87762.330780736098</v>
      </c>
      <c r="I14" s="2">
        <v>433140.893898924</v>
      </c>
      <c r="J14" s="3">
        <v>29.937612527891901</v>
      </c>
      <c r="K14">
        <v>3.4961442969619699E-2</v>
      </c>
      <c r="L14" s="2">
        <v>86828.049194179606</v>
      </c>
      <c r="M14" s="5">
        <v>426952.72715409799</v>
      </c>
      <c r="N14" s="3">
        <v>28.4247298169586</v>
      </c>
      <c r="O14">
        <v>1.9619114731417999E-2</v>
      </c>
      <c r="P14" s="2">
        <v>88735.693938156197</v>
      </c>
      <c r="Q14" s="5">
        <v>439625.191955727</v>
      </c>
      <c r="R14" s="3">
        <v>31.587651689060099</v>
      </c>
      <c r="T14" t="s">
        <v>38</v>
      </c>
      <c r="U14">
        <v>2</v>
      </c>
      <c r="V14">
        <v>2.4</v>
      </c>
      <c r="W14">
        <v>1.1000000000000001</v>
      </c>
    </row>
    <row r="15" spans="1:23">
      <c r="A15" s="4" t="s">
        <v>40</v>
      </c>
      <c r="B15">
        <v>49069254</v>
      </c>
      <c r="C15" s="4">
        <v>25843266</v>
      </c>
      <c r="D15" s="4">
        <v>23225988</v>
      </c>
      <c r="E15" s="3">
        <f t="shared" si="0"/>
        <v>111.26874774928844</v>
      </c>
      <c r="F15" t="s">
        <v>41</v>
      </c>
      <c r="G15">
        <v>4.1331152726015001E-2</v>
      </c>
      <c r="H15" s="2">
        <v>85349.736001719095</v>
      </c>
      <c r="I15" s="2">
        <v>418458.24125884997</v>
      </c>
      <c r="J15" s="3">
        <v>25.708969498338501</v>
      </c>
      <c r="K15">
        <v>4.9469510455461198E-2</v>
      </c>
      <c r="L15" s="2">
        <v>83792.415304113994</v>
      </c>
      <c r="M15" s="5">
        <v>409197.41016537201</v>
      </c>
      <c r="N15" s="3">
        <v>24.3591392408978</v>
      </c>
      <c r="O15">
        <v>3.1675659886502498E-2</v>
      </c>
      <c r="P15" s="2">
        <v>86994.778178011504</v>
      </c>
      <c r="Q15" s="5">
        <v>428556.299450766</v>
      </c>
      <c r="R15" s="3">
        <v>27.166308714689499</v>
      </c>
    </row>
    <row r="16" spans="1:23">
      <c r="A16" s="4" t="s">
        <v>42</v>
      </c>
      <c r="B16">
        <v>39146055</v>
      </c>
      <c r="C16" s="4">
        <v>19456012</v>
      </c>
      <c r="D16" s="4">
        <v>19690043</v>
      </c>
      <c r="E16" s="3">
        <f t="shared" si="0"/>
        <v>98.811424637315412</v>
      </c>
      <c r="F16" t="s">
        <v>43</v>
      </c>
      <c r="G16">
        <v>6.0432880699229301E-2</v>
      </c>
      <c r="H16" s="2">
        <v>81822.133027906995</v>
      </c>
      <c r="I16" s="2">
        <v>397487.71734983701</v>
      </c>
      <c r="J16" s="3">
        <v>21.703119346630999</v>
      </c>
      <c r="K16">
        <v>7.5828048016351804E-2</v>
      </c>
      <c r="L16" s="2">
        <v>79647.245539138807</v>
      </c>
      <c r="M16" s="5">
        <v>383947.56256274501</v>
      </c>
      <c r="N16" s="3">
        <v>20.489267274870802</v>
      </c>
      <c r="O16">
        <v>4.6952114844384399E-2</v>
      </c>
      <c r="P16" s="2">
        <v>84239.161172543099</v>
      </c>
      <c r="Q16" s="5">
        <v>412000.705184152</v>
      </c>
      <c r="R16" s="3">
        <v>22.967592200213499</v>
      </c>
    </row>
    <row r="17" spans="1:23">
      <c r="A17" s="4" t="s">
        <v>44</v>
      </c>
      <c r="B17">
        <v>37663707</v>
      </c>
      <c r="C17" s="4">
        <v>18701749</v>
      </c>
      <c r="D17" s="4">
        <v>18961958</v>
      </c>
      <c r="E17" s="3">
        <f t="shared" si="0"/>
        <v>98.627731376685887</v>
      </c>
      <c r="F17" t="s">
        <v>45</v>
      </c>
      <c r="G17">
        <v>9.3504670035382306E-2</v>
      </c>
      <c r="H17" s="2">
        <v>76877.385824074998</v>
      </c>
      <c r="I17" s="2">
        <v>367504.83612796001</v>
      </c>
      <c r="J17" s="3">
        <v>17.9286507491923</v>
      </c>
      <c r="K17">
        <v>0.10710712418010999</v>
      </c>
      <c r="L17" s="2">
        <v>73607.750380026802</v>
      </c>
      <c r="M17" s="5">
        <v>349309.45771254197</v>
      </c>
      <c r="N17" s="3">
        <v>16.954276316731001</v>
      </c>
      <c r="O17">
        <v>7.9041506972675604E-2</v>
      </c>
      <c r="P17" s="2">
        <v>80283.9544027753</v>
      </c>
      <c r="Q17" s="5">
        <v>386701.081153012</v>
      </c>
      <c r="R17" s="3">
        <v>18.9673018381148</v>
      </c>
      <c r="T17" s="4" t="s">
        <v>18</v>
      </c>
      <c r="U17" s="4" t="s">
        <v>6</v>
      </c>
      <c r="V17" t="s">
        <v>19</v>
      </c>
      <c r="W17" t="s">
        <v>20</v>
      </c>
    </row>
    <row r="18" spans="1:23">
      <c r="A18" s="4" t="s">
        <v>46</v>
      </c>
      <c r="B18">
        <v>26454983</v>
      </c>
      <c r="C18" s="4">
        <v>12944326</v>
      </c>
      <c r="D18" s="4">
        <v>13510657</v>
      </c>
      <c r="E18" s="3">
        <f t="shared" si="0"/>
        <v>95.808264542575543</v>
      </c>
      <c r="F18" t="s">
        <v>47</v>
      </c>
      <c r="G18">
        <v>0.145656180995059</v>
      </c>
      <c r="H18" s="2">
        <v>69688.991229412102</v>
      </c>
      <c r="I18" s="2">
        <v>324301.35207266099</v>
      </c>
      <c r="J18" s="3">
        <v>14.5044855290742</v>
      </c>
      <c r="K18">
        <v>0.164919665997493</v>
      </c>
      <c r="L18" s="2">
        <v>65723.835919454694</v>
      </c>
      <c r="M18" s="5">
        <v>302685.089860668</v>
      </c>
      <c r="N18" s="3">
        <v>13.6732232486355</v>
      </c>
      <c r="O18">
        <v>0.12651823491253</v>
      </c>
      <c r="P18" s="2">
        <v>73938.189661054304</v>
      </c>
      <c r="Q18" s="5">
        <v>347622.78887196101</v>
      </c>
      <c r="R18" s="3">
        <v>15.3651167274964</v>
      </c>
      <c r="T18" s="4" t="s">
        <v>26</v>
      </c>
      <c r="U18" s="4">
        <f>U8/1000</f>
        <v>2.81E-2</v>
      </c>
      <c r="V18">
        <f>V8/1000</f>
        <v>3.1699999999999999E-2</v>
      </c>
      <c r="W18">
        <f>W8/1000</f>
        <v>1.6500000000000001E-2</v>
      </c>
    </row>
    <row r="19" spans="1:23">
      <c r="A19" s="4" t="s">
        <v>48</v>
      </c>
      <c r="B19">
        <v>19208842</v>
      </c>
      <c r="C19" s="4">
        <v>9651499</v>
      </c>
      <c r="D19" s="4">
        <v>9557343</v>
      </c>
      <c r="E19" s="3">
        <f t="shared" si="0"/>
        <v>100.98516920445357</v>
      </c>
      <c r="F19" t="s">
        <v>49</v>
      </c>
      <c r="G19">
        <v>0.21462596154580799</v>
      </c>
      <c r="H19" s="2">
        <v>59538.358909537797</v>
      </c>
      <c r="I19" s="2">
        <v>266662.719737457</v>
      </c>
      <c r="J19" s="3">
        <v>11.530408720085701</v>
      </c>
      <c r="K19">
        <v>0.238727160569217</v>
      </c>
      <c r="L19" s="2">
        <v>54884.682851544203</v>
      </c>
      <c r="M19" s="5">
        <v>242368.93259140101</v>
      </c>
      <c r="N19" s="3">
        <v>10.858614106138599</v>
      </c>
      <c r="O19">
        <v>0.1917035244043</v>
      </c>
      <c r="P19" s="2">
        <v>64583.660412509897</v>
      </c>
      <c r="Q19" s="5">
        <v>293108.79071990098</v>
      </c>
      <c r="R19" s="3">
        <v>12.2081362507781</v>
      </c>
      <c r="T19" s="4" t="s">
        <v>28</v>
      </c>
      <c r="U19" s="4">
        <f t="shared" ref="U19:W24" si="1">U9/1000</f>
        <v>0.1943</v>
      </c>
      <c r="V19">
        <f t="shared" si="1"/>
        <v>0.21280000000000002</v>
      </c>
      <c r="W19">
        <f t="shared" si="1"/>
        <v>0.14219999999999999</v>
      </c>
    </row>
    <row r="20" spans="1:23">
      <c r="A20" s="4" t="s">
        <v>50</v>
      </c>
      <c r="B20">
        <v>9232503</v>
      </c>
      <c r="C20" s="4">
        <v>4490603</v>
      </c>
      <c r="D20" s="4">
        <v>4741900</v>
      </c>
      <c r="E20" s="3">
        <f t="shared" si="0"/>
        <v>94.70049979965836</v>
      </c>
      <c r="F20" t="s">
        <v>51</v>
      </c>
      <c r="G20">
        <v>0.30319962513552001</v>
      </c>
      <c r="H20" s="2">
        <v>46759.881379718798</v>
      </c>
      <c r="I20" s="2">
        <v>198760.38841598399</v>
      </c>
      <c r="J20" s="3">
        <v>8.97861330321434</v>
      </c>
      <c r="K20">
        <v>0.33171837828414102</v>
      </c>
      <c r="L20" s="2">
        <v>41782.218355653102</v>
      </c>
      <c r="M20" s="5">
        <v>174316.81189851699</v>
      </c>
      <c r="N20" s="3">
        <v>8.4629938942310901</v>
      </c>
      <c r="O20">
        <v>0.276446760546185</v>
      </c>
      <c r="P20" s="2">
        <v>52202.745092501202</v>
      </c>
      <c r="Q20" s="5">
        <v>225700.34051360999</v>
      </c>
      <c r="R20" s="3">
        <v>9.4887219875561595</v>
      </c>
      <c r="T20" s="4" t="s">
        <v>30</v>
      </c>
      <c r="U20" s="4">
        <f t="shared" si="1"/>
        <v>0.1497</v>
      </c>
      <c r="V20">
        <f t="shared" si="1"/>
        <v>0.15990000000000001</v>
      </c>
      <c r="W20">
        <f t="shared" si="1"/>
        <v>0.12559999999999999</v>
      </c>
    </row>
    <row r="21" spans="1:23">
      <c r="A21" s="4" t="s">
        <v>52</v>
      </c>
      <c r="B21">
        <v>6220229</v>
      </c>
      <c r="C21" s="4">
        <v>2927040</v>
      </c>
      <c r="D21" s="4">
        <v>3293189</v>
      </c>
      <c r="E21" s="3">
        <f t="shared" si="0"/>
        <v>88.881628111839319</v>
      </c>
      <c r="F21" t="s">
        <v>53</v>
      </c>
      <c r="G21">
        <v>0.43583103319934502</v>
      </c>
      <c r="H21" s="2">
        <v>32582.302874006698</v>
      </c>
      <c r="I21" s="2">
        <v>126608.226868691</v>
      </c>
      <c r="J21" s="3">
        <v>6.7852326292459404</v>
      </c>
      <c r="K21">
        <v>0.463908786248382</v>
      </c>
      <c r="L21" s="2">
        <v>27922.288641602001</v>
      </c>
      <c r="M21" s="5">
        <v>106131.872453933</v>
      </c>
      <c r="N21" s="3">
        <v>6.4208865266754502</v>
      </c>
      <c r="O21">
        <v>0.40936198218652298</v>
      </c>
      <c r="P21" s="2">
        <v>37771.465320060997</v>
      </c>
      <c r="Q21" s="5">
        <v>149754.98221316899</v>
      </c>
      <c r="R21" s="3">
        <v>7.1386426862604999</v>
      </c>
      <c r="T21" s="4" t="s">
        <v>32</v>
      </c>
      <c r="U21" s="4">
        <f t="shared" si="1"/>
        <v>6.3899999999999998E-2</v>
      </c>
      <c r="V21">
        <f t="shared" si="1"/>
        <v>6.6799999999999998E-2</v>
      </c>
      <c r="W21">
        <f t="shared" si="1"/>
        <v>5.7099999999999998E-2</v>
      </c>
    </row>
    <row r="22" spans="1:23">
      <c r="A22" s="4" t="s">
        <v>54</v>
      </c>
      <c r="B22">
        <v>5068776</v>
      </c>
      <c r="C22" s="4">
        <v>2356655</v>
      </c>
      <c r="D22" s="4">
        <v>2712121</v>
      </c>
      <c r="E22" s="3">
        <f t="shared" si="0"/>
        <v>86.893431377139891</v>
      </c>
      <c r="F22" t="s">
        <v>54</v>
      </c>
      <c r="G22">
        <v>1</v>
      </c>
      <c r="H22" s="2">
        <v>18381.9241484144</v>
      </c>
      <c r="I22" s="2">
        <v>94470.277727993496</v>
      </c>
      <c r="J22" s="3">
        <v>5.13930298946112</v>
      </c>
      <c r="K22">
        <v>1</v>
      </c>
      <c r="L22" s="2">
        <v>14968.893608599399</v>
      </c>
      <c r="M22" s="5">
        <v>73153.974478871794</v>
      </c>
      <c r="N22" s="3">
        <v>4.8870662315914801</v>
      </c>
      <c r="O22">
        <v>1</v>
      </c>
      <c r="P22" s="2">
        <v>22309.263406551301</v>
      </c>
      <c r="Q22" s="5">
        <v>119882.01244322699</v>
      </c>
      <c r="R22" s="3">
        <v>5.3736427894801002</v>
      </c>
      <c r="T22" s="4" t="s">
        <v>34</v>
      </c>
      <c r="U22" s="4">
        <f t="shared" si="1"/>
        <v>2.1999999999999999E-2</v>
      </c>
      <c r="V22">
        <f t="shared" si="1"/>
        <v>2.4399999999999998E-2</v>
      </c>
      <c r="W22">
        <f t="shared" si="1"/>
        <v>1.5800000000000002E-2</v>
      </c>
    </row>
    <row r="23" spans="1:23">
      <c r="T23" s="4" t="s">
        <v>36</v>
      </c>
      <c r="U23" s="4">
        <f t="shared" si="1"/>
        <v>7.4000000000000003E-3</v>
      </c>
      <c r="V23">
        <f t="shared" si="1"/>
        <v>9.1999999999999998E-3</v>
      </c>
      <c r="W23">
        <f t="shared" si="1"/>
        <v>3.2000000000000002E-3</v>
      </c>
    </row>
    <row r="24" spans="1:23">
      <c r="B24" s="6">
        <f>SUM(B5:B22)</f>
        <v>1206365175</v>
      </c>
      <c r="C24" s="7">
        <f t="shared" ref="C24:D24" si="2">SUM(C5:C22)</f>
        <v>620897377</v>
      </c>
      <c r="D24" s="7">
        <f t="shared" si="2"/>
        <v>585467798</v>
      </c>
      <c r="T24" s="4" t="s">
        <v>38</v>
      </c>
      <c r="U24" s="4">
        <f t="shared" si="1"/>
        <v>2E-3</v>
      </c>
      <c r="V24">
        <f t="shared" si="1"/>
        <v>2.3999999999999998E-3</v>
      </c>
      <c r="W24">
        <f t="shared" si="1"/>
        <v>1.1000000000000001E-3</v>
      </c>
    </row>
    <row r="26" spans="1:23">
      <c r="T26" t="s">
        <v>55</v>
      </c>
      <c r="U26">
        <f>SUM(U18:U24)</f>
        <v>0.46740000000000004</v>
      </c>
      <c r="V26">
        <f t="shared" ref="V26:W26" si="3">SUM(V18:V24)</f>
        <v>0.50719999999999998</v>
      </c>
      <c r="W26">
        <f t="shared" si="3"/>
        <v>0.36149999999999993</v>
      </c>
    </row>
    <row r="27" spans="1:23">
      <c r="C27" s="8">
        <f>D24/C24*1000</f>
        <v>942.93810811186597</v>
      </c>
      <c r="T27" t="s">
        <v>56</v>
      </c>
      <c r="U27">
        <f>U26*5</f>
        <v>2.3370000000000002</v>
      </c>
      <c r="V27">
        <f t="shared" ref="V27:W27" si="4">V26*5</f>
        <v>2.536</v>
      </c>
      <c r="W27">
        <f t="shared" si="4"/>
        <v>1.8074999999999997</v>
      </c>
    </row>
    <row r="30" spans="1:23">
      <c r="F30" s="4" t="s">
        <v>78</v>
      </c>
      <c r="G30" s="4">
        <v>1.05</v>
      </c>
    </row>
    <row r="32" spans="1:23">
      <c r="G32" s="4">
        <v>1.083</v>
      </c>
    </row>
  </sheetData>
  <mergeCells count="3">
    <mergeCell ref="G3:J3"/>
    <mergeCell ref="K3:N3"/>
    <mergeCell ref="O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648A-C17A-FD40-84A2-6190676766AA}">
  <dimension ref="A1:S42"/>
  <sheetViews>
    <sheetView tabSelected="1" topLeftCell="B1" workbookViewId="0">
      <selection activeCell="R23" sqref="R23"/>
    </sheetView>
  </sheetViews>
  <sheetFormatPr baseColWidth="10" defaultRowHeight="16"/>
  <cols>
    <col min="19" max="19" width="12.1640625" bestFit="1" customWidth="1"/>
  </cols>
  <sheetData>
    <row r="1" spans="1:19">
      <c r="A1" s="1" t="s">
        <v>0</v>
      </c>
    </row>
    <row r="2" spans="1:19">
      <c r="A2">
        <v>2011</v>
      </c>
      <c r="B2" t="s">
        <v>2</v>
      </c>
    </row>
    <row r="3" spans="1:19">
      <c r="B3" t="s">
        <v>4</v>
      </c>
      <c r="C3" t="s">
        <v>83</v>
      </c>
      <c r="D3" s="1" t="s">
        <v>57</v>
      </c>
      <c r="I3" s="1" t="s">
        <v>77</v>
      </c>
      <c r="M3" s="28" t="s">
        <v>82</v>
      </c>
    </row>
    <row r="4" spans="1:19">
      <c r="A4" s="4" t="s">
        <v>9</v>
      </c>
      <c r="B4" s="4" t="s">
        <v>12</v>
      </c>
      <c r="C4" s="4" t="s">
        <v>16</v>
      </c>
      <c r="D4" t="s">
        <v>18</v>
      </c>
      <c r="E4" s="4" t="s">
        <v>6</v>
      </c>
      <c r="F4" s="4" t="s">
        <v>19</v>
      </c>
      <c r="G4" s="4" t="s">
        <v>20</v>
      </c>
    </row>
    <row r="5" spans="1:19">
      <c r="A5" s="4" t="s">
        <v>21</v>
      </c>
      <c r="B5" s="4">
        <v>54174704</v>
      </c>
      <c r="C5" s="5">
        <v>475376.45057881949</v>
      </c>
    </row>
    <row r="6" spans="1:19">
      <c r="A6" s="4" t="s">
        <v>22</v>
      </c>
      <c r="B6" s="4">
        <v>60627660</v>
      </c>
      <c r="C6" s="5">
        <v>470472.60584042</v>
      </c>
    </row>
    <row r="7" spans="1:19">
      <c r="A7" s="4" t="s">
        <v>24</v>
      </c>
      <c r="B7" s="4">
        <v>63290377</v>
      </c>
      <c r="C7" s="5">
        <v>468664.22492691898</v>
      </c>
      <c r="I7" t="s">
        <v>6</v>
      </c>
      <c r="J7" t="s">
        <v>19</v>
      </c>
      <c r="K7" t="s">
        <v>20</v>
      </c>
      <c r="M7" t="s">
        <v>6</v>
      </c>
      <c r="N7" t="s">
        <v>19</v>
      </c>
      <c r="O7" t="s">
        <v>20</v>
      </c>
      <c r="Q7" t="s">
        <v>6</v>
      </c>
      <c r="R7" t="s">
        <v>19</v>
      </c>
      <c r="S7" t="s">
        <v>20</v>
      </c>
    </row>
    <row r="8" spans="1:19">
      <c r="A8" s="4" t="s">
        <v>26</v>
      </c>
      <c r="B8" s="4">
        <v>56544053</v>
      </c>
      <c r="C8" s="5">
        <v>466602.05826653802</v>
      </c>
      <c r="D8" s="4" t="s">
        <v>26</v>
      </c>
      <c r="E8">
        <v>28.1</v>
      </c>
      <c r="F8">
        <v>31.7</v>
      </c>
      <c r="G8">
        <v>16.5</v>
      </c>
      <c r="I8">
        <f>E8/1000</f>
        <v>2.81E-2</v>
      </c>
      <c r="J8">
        <f>F8/1000</f>
        <v>3.1699999999999999E-2</v>
      </c>
      <c r="K8">
        <f>G8/1000</f>
        <v>1.6500000000000001E-2</v>
      </c>
      <c r="M8" s="26">
        <f>I8*1/2.08</f>
        <v>1.3509615384615384E-2</v>
      </c>
      <c r="N8" s="26">
        <f>J8*1/2.08</f>
        <v>1.5240384615384614E-2</v>
      </c>
      <c r="O8" s="26">
        <f>K8*100/(100+108.23)</f>
        <v>7.9239302694136295E-3</v>
      </c>
      <c r="Q8" s="3">
        <f>M8*C8/100000</f>
        <v>6.3036143448508261E-2</v>
      </c>
      <c r="R8" s="3">
        <f>N8*C8/100000</f>
        <v>7.1111948303121411E-2</v>
      </c>
      <c r="S8" s="3">
        <f>C8*O8/100000</f>
        <v>3.6973221732689229E-2</v>
      </c>
    </row>
    <row r="9" spans="1:19">
      <c r="A9" s="4" t="s">
        <v>28</v>
      </c>
      <c r="B9" s="4">
        <v>53839529</v>
      </c>
      <c r="C9" s="5">
        <v>463353.91597657301</v>
      </c>
      <c r="D9" s="4" t="s">
        <v>28</v>
      </c>
      <c r="E9">
        <v>194.3</v>
      </c>
      <c r="F9">
        <v>212.8</v>
      </c>
      <c r="G9">
        <v>142.19999999999999</v>
      </c>
      <c r="I9">
        <f t="shared" ref="I9:I14" si="0">E9/1000</f>
        <v>0.1943</v>
      </c>
      <c r="J9">
        <f t="shared" ref="J8:L14" si="1">F9/1000</f>
        <v>0.21280000000000002</v>
      </c>
      <c r="K9">
        <f t="shared" si="1"/>
        <v>0.14219999999999999</v>
      </c>
      <c r="M9" s="26">
        <f t="shared" ref="M9:M14" si="2">I9*1/2.08</f>
        <v>9.3413461538461542E-2</v>
      </c>
      <c r="N9" s="26">
        <f t="shared" ref="N9:N14" si="3">J9*1/2.08</f>
        <v>0.10230769230769231</v>
      </c>
      <c r="O9" s="26">
        <f t="shared" ref="O9:O14" si="4">K9*100/(100+108.23)</f>
        <v>6.8289871776401084E-2</v>
      </c>
      <c r="Q9" s="3">
        <f t="shared" ref="Q9:Q14" si="5">M9*C9/100000</f>
        <v>0.43283493208773144</v>
      </c>
      <c r="R9" s="3">
        <f t="shared" ref="R9:R14" si="6">N9*C9/100000</f>
        <v>0.47404669865295546</v>
      </c>
      <c r="S9" s="3">
        <f t="shared" ref="S9:S14" si="7">C9*O9/100000</f>
        <v>0.31642379509133495</v>
      </c>
    </row>
    <row r="10" spans="1:19">
      <c r="A10" s="4" t="s">
        <v>30</v>
      </c>
      <c r="B10" s="4">
        <v>50069757</v>
      </c>
      <c r="C10" s="5">
        <v>459772.09427012003</v>
      </c>
      <c r="D10" s="4" t="s">
        <v>30</v>
      </c>
      <c r="E10">
        <v>149.69999999999999</v>
      </c>
      <c r="F10">
        <v>159.9</v>
      </c>
      <c r="G10">
        <v>125.6</v>
      </c>
      <c r="I10">
        <f t="shared" si="0"/>
        <v>0.1497</v>
      </c>
      <c r="J10">
        <f t="shared" si="1"/>
        <v>0.15990000000000001</v>
      </c>
      <c r="K10">
        <f t="shared" si="1"/>
        <v>0.12559999999999999</v>
      </c>
      <c r="M10" s="26">
        <f t="shared" si="2"/>
        <v>7.1971153846153837E-2</v>
      </c>
      <c r="N10" s="26">
        <f t="shared" si="3"/>
        <v>7.6874999999999999E-2</v>
      </c>
      <c r="O10" s="26">
        <f t="shared" si="4"/>
        <v>6.0317917687172824E-2</v>
      </c>
      <c r="Q10" s="3">
        <f t="shared" si="5"/>
        <v>0.33090328130883151</v>
      </c>
      <c r="R10" s="3">
        <f t="shared" si="6"/>
        <v>0.35344979747015476</v>
      </c>
      <c r="S10" s="3">
        <f t="shared" si="7"/>
        <v>0.27732495337044166</v>
      </c>
    </row>
    <row r="11" spans="1:19">
      <c r="A11" s="4" t="s">
        <v>32</v>
      </c>
      <c r="B11" s="4">
        <v>43934277</v>
      </c>
      <c r="C11" s="5">
        <v>456162.87428909802</v>
      </c>
      <c r="D11" s="4" t="s">
        <v>32</v>
      </c>
      <c r="E11">
        <v>63.9</v>
      </c>
      <c r="F11">
        <v>66.8</v>
      </c>
      <c r="G11">
        <v>57.1</v>
      </c>
      <c r="I11">
        <f t="shared" si="0"/>
        <v>6.3899999999999998E-2</v>
      </c>
      <c r="J11">
        <f t="shared" si="1"/>
        <v>6.6799999999999998E-2</v>
      </c>
      <c r="K11">
        <f t="shared" si="1"/>
        <v>5.7099999999999998E-2</v>
      </c>
      <c r="M11" s="26">
        <f t="shared" si="2"/>
        <v>3.0721153846153846E-2</v>
      </c>
      <c r="N11" s="26">
        <f t="shared" si="3"/>
        <v>3.2115384615384615E-2</v>
      </c>
      <c r="O11" s="26">
        <f t="shared" si="4"/>
        <v>2.7421601114152618E-2</v>
      </c>
      <c r="Q11" s="3">
        <f t="shared" si="5"/>
        <v>0.14013849839939119</v>
      </c>
      <c r="R11" s="3">
        <f t="shared" si="6"/>
        <v>0.14649846155053725</v>
      </c>
      <c r="S11" s="3">
        <f t="shared" si="7"/>
        <v>0.12508716381840992</v>
      </c>
    </row>
    <row r="12" spans="1:19">
      <c r="A12" s="4" t="s">
        <v>34</v>
      </c>
      <c r="B12" s="4">
        <v>42221303</v>
      </c>
      <c r="C12" s="5">
        <v>452084.844387536</v>
      </c>
      <c r="D12" s="4" t="s">
        <v>34</v>
      </c>
      <c r="E12">
        <v>22</v>
      </c>
      <c r="F12">
        <v>24.4</v>
      </c>
      <c r="G12">
        <v>15.8</v>
      </c>
      <c r="I12">
        <f t="shared" si="0"/>
        <v>2.1999999999999999E-2</v>
      </c>
      <c r="J12">
        <f t="shared" si="1"/>
        <v>2.4399999999999998E-2</v>
      </c>
      <c r="K12">
        <f t="shared" si="1"/>
        <v>1.5800000000000002E-2</v>
      </c>
      <c r="M12" s="26">
        <f t="shared" si="2"/>
        <v>1.0576923076923076E-2</v>
      </c>
      <c r="N12" s="26">
        <f t="shared" si="3"/>
        <v>1.1730769230769229E-2</v>
      </c>
      <c r="O12" s="26">
        <f t="shared" si="4"/>
        <v>7.5877635307112327E-3</v>
      </c>
      <c r="Q12" s="3">
        <f t="shared" si="5"/>
        <v>4.7816666233297077E-2</v>
      </c>
      <c r="R12" s="3">
        <f t="shared" si="6"/>
        <v>5.3033029822384024E-2</v>
      </c>
      <c r="S12" s="3">
        <f t="shared" si="7"/>
        <v>3.4303128950310083E-2</v>
      </c>
    </row>
    <row r="13" spans="1:19">
      <c r="A13" s="4" t="s">
        <v>36</v>
      </c>
      <c r="B13" s="4">
        <v>34892726</v>
      </c>
      <c r="C13" s="5">
        <v>446871.52982187102</v>
      </c>
      <c r="D13" s="4" t="s">
        <v>36</v>
      </c>
      <c r="E13">
        <v>7.4</v>
      </c>
      <c r="F13">
        <v>9.1999999999999993</v>
      </c>
      <c r="G13">
        <v>3.2</v>
      </c>
      <c r="I13">
        <f t="shared" si="0"/>
        <v>7.4000000000000003E-3</v>
      </c>
      <c r="J13">
        <f t="shared" si="1"/>
        <v>9.1999999999999998E-3</v>
      </c>
      <c r="K13">
        <f t="shared" si="1"/>
        <v>3.2000000000000002E-3</v>
      </c>
      <c r="M13" s="26">
        <f t="shared" si="2"/>
        <v>3.5576923076923077E-3</v>
      </c>
      <c r="N13" s="26">
        <f t="shared" si="3"/>
        <v>4.4230769230769228E-3</v>
      </c>
      <c r="O13" s="26">
        <f t="shared" si="4"/>
        <v>1.5367622340680977E-3</v>
      </c>
      <c r="Q13" s="3">
        <f t="shared" si="5"/>
        <v>1.5898314041739643E-2</v>
      </c>
      <c r="R13" s="3">
        <f t="shared" si="6"/>
        <v>1.9765471511351985E-2</v>
      </c>
      <c r="S13" s="3">
        <f t="shared" si="7"/>
        <v>6.8673529051048706E-3</v>
      </c>
    </row>
    <row r="14" spans="1:19">
      <c r="A14" s="4" t="s">
        <v>38</v>
      </c>
      <c r="B14" s="4">
        <v>30180213</v>
      </c>
      <c r="C14" s="5">
        <v>439625.191955727</v>
      </c>
      <c r="D14" s="4" t="s">
        <v>38</v>
      </c>
      <c r="E14">
        <v>2</v>
      </c>
      <c r="F14">
        <v>2.4</v>
      </c>
      <c r="G14">
        <v>1.1000000000000001</v>
      </c>
      <c r="I14">
        <f t="shared" si="0"/>
        <v>2E-3</v>
      </c>
      <c r="J14">
        <f t="shared" si="1"/>
        <v>2.3999999999999998E-3</v>
      </c>
      <c r="K14">
        <f t="shared" si="1"/>
        <v>1.1000000000000001E-3</v>
      </c>
      <c r="M14" s="26">
        <f t="shared" si="2"/>
        <v>9.6153846153846148E-4</v>
      </c>
      <c r="N14" s="26">
        <f t="shared" si="3"/>
        <v>1.1538461538461537E-3</v>
      </c>
      <c r="O14" s="26">
        <f t="shared" si="4"/>
        <v>5.2826201796090852E-4</v>
      </c>
      <c r="Q14" s="3">
        <f t="shared" si="5"/>
        <v>4.2271653072666051E-3</v>
      </c>
      <c r="R14" s="3">
        <f t="shared" si="6"/>
        <v>5.0725983687199263E-3</v>
      </c>
      <c r="S14" s="3">
        <f t="shared" si="7"/>
        <v>2.3223729104898411E-3</v>
      </c>
    </row>
    <row r="15" spans="1:19">
      <c r="A15" s="4" t="s">
        <v>40</v>
      </c>
      <c r="B15" s="4">
        <v>23225988</v>
      </c>
      <c r="C15" s="5">
        <v>428556.299450766</v>
      </c>
      <c r="Q15" s="3"/>
      <c r="R15" s="3"/>
      <c r="S15" s="3"/>
    </row>
    <row r="16" spans="1:19">
      <c r="A16" s="4" t="s">
        <v>42</v>
      </c>
      <c r="B16" s="4">
        <v>19690043</v>
      </c>
      <c r="C16" s="5">
        <v>412000.705184152</v>
      </c>
      <c r="Q16" s="3"/>
      <c r="R16" s="3"/>
      <c r="S16" s="3"/>
    </row>
    <row r="17" spans="1:19">
      <c r="A17" s="4" t="s">
        <v>44</v>
      </c>
      <c r="B17" s="4">
        <v>18961958</v>
      </c>
      <c r="C17" s="5">
        <v>386701.081153012</v>
      </c>
      <c r="Q17" s="3"/>
      <c r="R17" s="3"/>
      <c r="S17" s="3"/>
    </row>
    <row r="18" spans="1:19">
      <c r="A18" s="4" t="s">
        <v>46</v>
      </c>
      <c r="B18" s="4">
        <v>13510657</v>
      </c>
      <c r="C18" s="5">
        <v>347622.78887196101</v>
      </c>
      <c r="Q18" s="3"/>
      <c r="R18" s="3"/>
      <c r="S18" s="3"/>
    </row>
    <row r="19" spans="1:19">
      <c r="A19" s="4" t="s">
        <v>48</v>
      </c>
      <c r="B19" s="4">
        <v>9557343</v>
      </c>
      <c r="C19" s="5">
        <v>293108.79071990098</v>
      </c>
      <c r="Q19" s="3"/>
      <c r="R19" s="3"/>
      <c r="S19" s="3"/>
    </row>
    <row r="20" spans="1:19">
      <c r="A20" s="4" t="s">
        <v>50</v>
      </c>
      <c r="B20" s="4">
        <v>4741900</v>
      </c>
      <c r="C20" s="5">
        <v>225700.34051360999</v>
      </c>
      <c r="Q20" s="3"/>
      <c r="R20" s="3"/>
      <c r="S20" s="3"/>
    </row>
    <row r="21" spans="1:19">
      <c r="A21" s="4" t="s">
        <v>52</v>
      </c>
      <c r="B21" s="4">
        <v>3293189</v>
      </c>
      <c r="C21" s="5">
        <v>149754.98221316899</v>
      </c>
      <c r="Q21" s="3"/>
      <c r="R21" s="3"/>
      <c r="S21" s="3"/>
    </row>
    <row r="22" spans="1:19">
      <c r="A22" s="4" t="s">
        <v>54</v>
      </c>
      <c r="B22" s="4">
        <v>2712121</v>
      </c>
      <c r="C22" s="5">
        <v>119882.01244322699</v>
      </c>
      <c r="Q22" s="3"/>
      <c r="R22" s="3"/>
      <c r="S22" s="3"/>
    </row>
    <row r="23" spans="1:19">
      <c r="H23" s="4" t="s">
        <v>56</v>
      </c>
      <c r="I23" s="4">
        <f>SUM(I8:I14)*5</f>
        <v>2.3370000000000002</v>
      </c>
      <c r="J23" s="4">
        <f>SUM(J8:J14)*5</f>
        <v>2.536</v>
      </c>
      <c r="K23" s="4">
        <f t="shared" ref="J23:K23" si="8">SUM(K8:K14)*5</f>
        <v>1.8074999999999997</v>
      </c>
      <c r="L23" s="30" t="s">
        <v>80</v>
      </c>
      <c r="M23" s="27">
        <f>SUM(M8:M14)*5</f>
        <v>1.1235576923076924</v>
      </c>
      <c r="N23" s="27">
        <f t="shared" ref="N23:O23" si="9">SUM(N8:N14)*5</f>
        <v>1.2192307692307691</v>
      </c>
      <c r="O23" s="27">
        <f t="shared" si="9"/>
        <v>0.86803054314940187</v>
      </c>
      <c r="P23" s="30" t="s">
        <v>81</v>
      </c>
      <c r="Q23" s="27">
        <f>SUM(Q8:Q14)</f>
        <v>1.0348550008267656</v>
      </c>
      <c r="R23" s="27">
        <f t="shared" ref="R23:S23" si="10">SUM(R8:R14)</f>
        <v>1.1229780056792247</v>
      </c>
      <c r="S23" s="27">
        <f t="shared" si="10"/>
        <v>0.79930198877878056</v>
      </c>
    </row>
    <row r="24" spans="1:19">
      <c r="B24" t="s">
        <v>78</v>
      </c>
      <c r="C24" s="5">
        <v>108.3</v>
      </c>
    </row>
    <row r="34" spans="6:12">
      <c r="J34" t="s">
        <v>86</v>
      </c>
      <c r="K34" t="s">
        <v>87</v>
      </c>
      <c r="L34">
        <v>1.08</v>
      </c>
    </row>
    <row r="35" spans="6:12">
      <c r="K35" t="s">
        <v>88</v>
      </c>
    </row>
    <row r="36" spans="6:12">
      <c r="G36">
        <v>1.08</v>
      </c>
    </row>
    <row r="37" spans="6:12">
      <c r="G37" t="s">
        <v>84</v>
      </c>
      <c r="H37" t="s">
        <v>85</v>
      </c>
    </row>
    <row r="38" spans="6:12">
      <c r="F38" s="29">
        <v>100000</v>
      </c>
      <c r="G38" s="2">
        <f>1.08/(1+1.08)*100000</f>
        <v>51923.076923076929</v>
      </c>
      <c r="H38" s="2">
        <f>1/(1+1.08)*100000</f>
        <v>48076.923076923071</v>
      </c>
      <c r="I38" s="2"/>
    </row>
    <row r="41" spans="6:12">
      <c r="I41" s="4" t="s">
        <v>85</v>
      </c>
      <c r="J41" s="4" t="s">
        <v>89</v>
      </c>
    </row>
    <row r="42" spans="6:12">
      <c r="I42" s="4" t="s">
        <v>84</v>
      </c>
      <c r="J42" s="4" t="s">
        <v>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C062-E179-094D-9F0F-412DF989C6C1}">
  <dimension ref="A2:K62"/>
  <sheetViews>
    <sheetView workbookViewId="0">
      <selection activeCell="G53" sqref="G53"/>
    </sheetView>
  </sheetViews>
  <sheetFormatPr baseColWidth="10" defaultRowHeight="16"/>
  <sheetData>
    <row r="2" spans="1:11">
      <c r="A2" s="4" t="s">
        <v>8</v>
      </c>
      <c r="B2">
        <v>2010</v>
      </c>
      <c r="G2">
        <v>2016</v>
      </c>
    </row>
    <row r="3" spans="1:11">
      <c r="A3" s="4" t="s">
        <v>9</v>
      </c>
      <c r="B3" s="4" t="s">
        <v>12</v>
      </c>
      <c r="C3" s="4" t="s">
        <v>16</v>
      </c>
      <c r="D3" t="s">
        <v>58</v>
      </c>
      <c r="E3" t="s">
        <v>6</v>
      </c>
      <c r="F3" s="4" t="s">
        <v>59</v>
      </c>
      <c r="G3" s="4" t="s">
        <v>60</v>
      </c>
      <c r="H3" s="4" t="s">
        <v>61</v>
      </c>
      <c r="I3" s="4" t="s">
        <v>62</v>
      </c>
      <c r="K3" s="4" t="s">
        <v>63</v>
      </c>
    </row>
    <row r="4" spans="1:11">
      <c r="A4" s="4" t="s">
        <v>21</v>
      </c>
      <c r="B4" s="4">
        <v>54174704</v>
      </c>
      <c r="C4" s="5">
        <v>475376.45057881949</v>
      </c>
      <c r="F4" s="9">
        <f>C4/(5*100000)</f>
        <v>0.950752901157639</v>
      </c>
      <c r="G4" s="10">
        <f>I22*F4</f>
        <v>56567556.85896755</v>
      </c>
      <c r="H4" s="9"/>
      <c r="K4" s="2">
        <f>G4-B4</f>
        <v>2392852.8589675501</v>
      </c>
    </row>
    <row r="5" spans="1:11">
      <c r="A5" s="4" t="s">
        <v>22</v>
      </c>
      <c r="B5" s="4">
        <v>60627660</v>
      </c>
      <c r="C5" s="5">
        <v>470472.60584042</v>
      </c>
      <c r="F5">
        <f>C5/C4</f>
        <v>0.98968429182297823</v>
      </c>
      <c r="G5" s="2">
        <f>B4*F5</f>
        <v>53615853.56295947</v>
      </c>
      <c r="H5" s="2"/>
      <c r="K5" s="2">
        <f t="shared" ref="K5:K21" si="0">G5-B5</f>
        <v>-7011806.4370405301</v>
      </c>
    </row>
    <row r="6" spans="1:11">
      <c r="A6" s="4" t="s">
        <v>24</v>
      </c>
      <c r="B6" s="4">
        <v>63290377</v>
      </c>
      <c r="C6" s="5">
        <v>468664.22492691898</v>
      </c>
      <c r="F6">
        <f t="shared" ref="F6:F20" si="1">C6/C5</f>
        <v>0.99615624610008768</v>
      </c>
      <c r="G6" s="2">
        <f t="shared" ref="G6:G20" si="2">B5*F6</f>
        <v>60394622.195432439</v>
      </c>
      <c r="H6" s="2"/>
      <c r="K6" s="2">
        <f t="shared" si="0"/>
        <v>-2895754.8045675606</v>
      </c>
    </row>
    <row r="7" spans="1:11">
      <c r="A7" s="4" t="s">
        <v>26</v>
      </c>
      <c r="B7" s="4">
        <v>56544053</v>
      </c>
      <c r="C7" s="5">
        <v>466602.05826653802</v>
      </c>
      <c r="D7" t="s">
        <v>26</v>
      </c>
      <c r="E7">
        <v>2.81E-2</v>
      </c>
      <c r="F7">
        <f t="shared" si="1"/>
        <v>0.99559990596529424</v>
      </c>
      <c r="G7" s="2">
        <f t="shared" si="2"/>
        <v>63011893.38970802</v>
      </c>
      <c r="H7" s="2">
        <f>E7*(B7+G7)/2*5</f>
        <v>8398805.2338769883</v>
      </c>
      <c r="I7" s="2">
        <f>H7/2.05</f>
        <v>4096978.1628668238</v>
      </c>
      <c r="K7" s="2">
        <f t="shared" si="0"/>
        <v>6467840.3897080198</v>
      </c>
    </row>
    <row r="8" spans="1:11">
      <c r="A8" s="4" t="s">
        <v>28</v>
      </c>
      <c r="B8" s="4">
        <v>53839529</v>
      </c>
      <c r="C8" s="5">
        <v>463353.91597657301</v>
      </c>
      <c r="D8" t="s">
        <v>28</v>
      </c>
      <c r="E8">
        <v>0.1943</v>
      </c>
      <c r="F8">
        <f t="shared" si="1"/>
        <v>0.99303873132914999</v>
      </c>
      <c r="G8" s="2">
        <f t="shared" si="2"/>
        <v>56150434.655328214</v>
      </c>
      <c r="H8" s="2">
        <f t="shared" ref="H8:H13" si="3">E8*(B8+G8)/2*5</f>
        <v>53427624.845575683</v>
      </c>
      <c r="I8" s="2">
        <f t="shared" ref="I8:I13" si="4">H8/2.05</f>
        <v>26062256.022232044</v>
      </c>
      <c r="K8" s="2">
        <f t="shared" si="0"/>
        <v>2310905.6553282142</v>
      </c>
    </row>
    <row r="9" spans="1:11">
      <c r="A9" s="4" t="s">
        <v>30</v>
      </c>
      <c r="B9" s="4">
        <v>50069757</v>
      </c>
      <c r="C9" s="5">
        <v>459772.09427012003</v>
      </c>
      <c r="D9" t="s">
        <v>30</v>
      </c>
      <c r="E9">
        <v>0.1497</v>
      </c>
      <c r="F9">
        <f t="shared" si="1"/>
        <v>0.99226979295318163</v>
      </c>
      <c r="G9" s="2">
        <f t="shared" si="2"/>
        <v>53423338.293526821</v>
      </c>
      <c r="H9" s="2">
        <f t="shared" si="3"/>
        <v>38732290.913602419</v>
      </c>
      <c r="I9" s="2">
        <f t="shared" si="4"/>
        <v>18893800.445659719</v>
      </c>
      <c r="K9" s="2">
        <f t="shared" si="0"/>
        <v>3353581.2935268208</v>
      </c>
    </row>
    <row r="10" spans="1:11">
      <c r="A10" s="4" t="s">
        <v>32</v>
      </c>
      <c r="B10" s="4">
        <v>43934277</v>
      </c>
      <c r="C10" s="5">
        <v>456162.87428909802</v>
      </c>
      <c r="D10" t="s">
        <v>32</v>
      </c>
      <c r="E10">
        <v>6.3899999999999998E-2</v>
      </c>
      <c r="F10">
        <f t="shared" si="1"/>
        <v>0.99214998033590629</v>
      </c>
      <c r="G10" s="2">
        <f t="shared" si="2"/>
        <v>49676708.422973603</v>
      </c>
      <c r="H10" s="2">
        <f t="shared" si="3"/>
        <v>14954354.921320032</v>
      </c>
      <c r="I10" s="2">
        <f t="shared" si="4"/>
        <v>7294807.278692699</v>
      </c>
      <c r="K10" s="2">
        <f t="shared" si="0"/>
        <v>5742431.422973603</v>
      </c>
    </row>
    <row r="11" spans="1:11">
      <c r="A11" s="4" t="s">
        <v>34</v>
      </c>
      <c r="B11" s="4">
        <v>42221303</v>
      </c>
      <c r="C11" s="5">
        <v>452084.844387536</v>
      </c>
      <c r="D11" t="s">
        <v>34</v>
      </c>
      <c r="E11">
        <v>2.1999999999999999E-2</v>
      </c>
      <c r="F11">
        <f t="shared" si="1"/>
        <v>0.99106014511172702</v>
      </c>
      <c r="G11" s="2">
        <f t="shared" si="2"/>
        <v>43541510.938998811</v>
      </c>
      <c r="H11" s="2">
        <f t="shared" si="3"/>
        <v>4716954.7666449351</v>
      </c>
      <c r="I11" s="2">
        <f t="shared" si="4"/>
        <v>2300953.5447048466</v>
      </c>
      <c r="K11" s="2">
        <f t="shared" si="0"/>
        <v>1320207.9389988109</v>
      </c>
    </row>
    <row r="12" spans="1:11">
      <c r="A12" s="4" t="s">
        <v>36</v>
      </c>
      <c r="B12" s="4">
        <v>34892726</v>
      </c>
      <c r="C12" s="5">
        <v>446871.52982187102</v>
      </c>
      <c r="D12" t="s">
        <v>36</v>
      </c>
      <c r="E12">
        <v>7.4000000000000003E-3</v>
      </c>
      <c r="F12">
        <f t="shared" si="1"/>
        <v>0.98846828282260213</v>
      </c>
      <c r="G12" s="2">
        <f t="shared" si="2"/>
        <v>41734418.87494278</v>
      </c>
      <c r="H12" s="2">
        <f t="shared" si="3"/>
        <v>1417602.1801864414</v>
      </c>
      <c r="I12" s="2">
        <f t="shared" si="4"/>
        <v>691513.2586275324</v>
      </c>
      <c r="K12" s="2">
        <f t="shared" si="0"/>
        <v>6841692.8749427795</v>
      </c>
    </row>
    <row r="13" spans="1:11">
      <c r="A13" s="4" t="s">
        <v>38</v>
      </c>
      <c r="B13" s="4">
        <v>30180213</v>
      </c>
      <c r="C13" s="5">
        <v>439625.191955727</v>
      </c>
      <c r="D13" t="s">
        <v>38</v>
      </c>
      <c r="E13">
        <v>2E-3</v>
      </c>
      <c r="F13">
        <f t="shared" si="1"/>
        <v>0.98378429283907953</v>
      </c>
      <c r="G13" s="2">
        <f t="shared" si="2"/>
        <v>34326915.773137763</v>
      </c>
      <c r="H13" s="2">
        <f t="shared" si="3"/>
        <v>322535.64386568882</v>
      </c>
      <c r="I13" s="2">
        <f t="shared" si="4"/>
        <v>157334.46042228723</v>
      </c>
      <c r="K13" s="2">
        <f t="shared" si="0"/>
        <v>4146702.7731377631</v>
      </c>
    </row>
    <row r="14" spans="1:11">
      <c r="A14" s="4" t="s">
        <v>40</v>
      </c>
      <c r="B14" s="4">
        <v>23225988</v>
      </c>
      <c r="C14" s="5">
        <v>428556.299450766</v>
      </c>
      <c r="F14">
        <f t="shared" si="1"/>
        <v>0.9748219785683353</v>
      </c>
      <c r="G14" s="2">
        <f t="shared" si="2"/>
        <v>29420334.950273793</v>
      </c>
      <c r="H14" s="2"/>
      <c r="K14" s="2">
        <f t="shared" si="0"/>
        <v>6194346.9502737932</v>
      </c>
    </row>
    <row r="15" spans="1:11">
      <c r="A15" s="4" t="s">
        <v>42</v>
      </c>
      <c r="B15" s="4">
        <v>19690043</v>
      </c>
      <c r="C15" s="5">
        <v>412000.705184152</v>
      </c>
      <c r="F15">
        <f t="shared" si="1"/>
        <v>0.96136891631780585</v>
      </c>
      <c r="G15" s="2">
        <f t="shared" si="2"/>
        <v>22328742.913970362</v>
      </c>
      <c r="H15" s="2"/>
      <c r="K15" s="2">
        <f t="shared" si="0"/>
        <v>2638699.9139703624</v>
      </c>
    </row>
    <row r="16" spans="1:11">
      <c r="A16" s="4" t="s">
        <v>44</v>
      </c>
      <c r="B16" s="4">
        <v>18961958</v>
      </c>
      <c r="C16" s="5">
        <v>386701.081153012</v>
      </c>
      <c r="F16">
        <f t="shared" si="1"/>
        <v>0.93859325066001564</v>
      </c>
      <c r="G16" s="2">
        <f t="shared" si="2"/>
        <v>18480941.465005487</v>
      </c>
      <c r="H16" s="2"/>
      <c r="K16" s="2">
        <f t="shared" si="0"/>
        <v>-481016.5349945128</v>
      </c>
    </row>
    <row r="17" spans="1:11">
      <c r="A17" s="4" t="s">
        <v>46</v>
      </c>
      <c r="B17" s="4">
        <v>13510657</v>
      </c>
      <c r="C17" s="5">
        <v>347622.78887196101</v>
      </c>
      <c r="F17">
        <f t="shared" si="1"/>
        <v>0.89894444524299566</v>
      </c>
      <c r="G17" s="2">
        <f t="shared" si="2"/>
        <v>17045746.815030985</v>
      </c>
      <c r="H17" s="2"/>
      <c r="K17" s="2">
        <f t="shared" si="0"/>
        <v>3535089.8150309846</v>
      </c>
    </row>
    <row r="18" spans="1:11">
      <c r="A18" s="4" t="s">
        <v>48</v>
      </c>
      <c r="B18" s="4">
        <v>9557343</v>
      </c>
      <c r="C18" s="5">
        <v>293108.79071990098</v>
      </c>
      <c r="F18">
        <f t="shared" si="1"/>
        <v>0.8431805971957177</v>
      </c>
      <c r="G18" s="2">
        <f t="shared" si="2"/>
        <v>11391923.837766504</v>
      </c>
      <c r="H18" s="2"/>
      <c r="K18" s="2">
        <f t="shared" si="0"/>
        <v>1834580.8377665039</v>
      </c>
    </row>
    <row r="19" spans="1:11">
      <c r="A19" s="4" t="s">
        <v>50</v>
      </c>
      <c r="B19" s="4">
        <v>4741900</v>
      </c>
      <c r="C19" s="5">
        <v>225700.34051360999</v>
      </c>
      <c r="F19">
        <f t="shared" si="1"/>
        <v>0.7700224205465489</v>
      </c>
      <c r="G19" s="2">
        <f t="shared" si="2"/>
        <v>7359368.3908536155</v>
      </c>
      <c r="H19" s="2"/>
      <c r="K19" s="2">
        <f t="shared" si="0"/>
        <v>2617468.3908536155</v>
      </c>
    </row>
    <row r="20" spans="1:11">
      <c r="A20" s="4" t="s">
        <v>52</v>
      </c>
      <c r="B20" s="4">
        <v>3293189</v>
      </c>
      <c r="C20" s="5">
        <v>149754.98221316899</v>
      </c>
      <c r="F20">
        <f t="shared" si="1"/>
        <v>0.66351243366484236</v>
      </c>
      <c r="G20" s="2">
        <f t="shared" si="2"/>
        <v>3146309.6091953162</v>
      </c>
      <c r="H20" s="2"/>
      <c r="K20" s="2">
        <f t="shared" si="0"/>
        <v>-146879.39080468379</v>
      </c>
    </row>
    <row r="21" spans="1:11">
      <c r="A21" s="4" t="s">
        <v>54</v>
      </c>
      <c r="B21" s="4">
        <v>2712121</v>
      </c>
      <c r="C21" s="5">
        <v>119882.01244322699</v>
      </c>
      <c r="F21" s="9">
        <f>C21/(C20+C21)</f>
        <v>0.44460520929628045</v>
      </c>
      <c r="G21" s="10">
        <f>(B20+B21)*F21</f>
        <v>2669992.1094390461</v>
      </c>
      <c r="H21" s="10"/>
      <c r="K21" s="2">
        <f t="shared" si="0"/>
        <v>-42128.890560953878</v>
      </c>
    </row>
    <row r="22" spans="1:11">
      <c r="A22" s="4" t="s">
        <v>6</v>
      </c>
      <c r="B22">
        <f>SUM(B4:B21)</f>
        <v>585467798</v>
      </c>
      <c r="F22" t="s">
        <v>6</v>
      </c>
      <c r="G22">
        <f>SUM(G4:G21)</f>
        <v>624286613.05751061</v>
      </c>
      <c r="H22" s="2">
        <f>SUM(H7:H13)</f>
        <v>121970168.50507219</v>
      </c>
      <c r="I22" s="2">
        <f>SUM(I7:I13)</f>
        <v>59497643.173205949</v>
      </c>
    </row>
    <row r="25" spans="1:11">
      <c r="A25" s="4" t="s">
        <v>64</v>
      </c>
      <c r="B25">
        <v>2010</v>
      </c>
      <c r="G25">
        <v>2016</v>
      </c>
    </row>
    <row r="26" spans="1:11">
      <c r="A26" s="4" t="s">
        <v>9</v>
      </c>
      <c r="B26" s="4" t="s">
        <v>64</v>
      </c>
      <c r="C26" s="4" t="s">
        <v>16</v>
      </c>
      <c r="D26" t="s">
        <v>58</v>
      </c>
      <c r="E26" t="s">
        <v>6</v>
      </c>
      <c r="F26" s="4" t="s">
        <v>59</v>
      </c>
      <c r="G26" s="4" t="s">
        <v>60</v>
      </c>
      <c r="H26" s="4" t="s">
        <v>61</v>
      </c>
      <c r="I26" s="4" t="s">
        <v>62</v>
      </c>
      <c r="K26" s="4" t="s">
        <v>63</v>
      </c>
    </row>
    <row r="27" spans="1:11">
      <c r="A27" s="4" t="s">
        <v>21</v>
      </c>
      <c r="B27" s="4">
        <v>58632074</v>
      </c>
      <c r="C27" s="5">
        <v>477445.5233539762</v>
      </c>
      <c r="F27" s="9">
        <f>C27/(5*100000)</f>
        <v>0.95489104670795244</v>
      </c>
      <c r="G27" s="10">
        <f>(H22-I22)*F27</f>
        <v>59654455.104634829</v>
      </c>
      <c r="H27" s="9"/>
      <c r="K27" s="2">
        <f>G27-B27</f>
        <v>1022381.1046348289</v>
      </c>
    </row>
    <row r="28" spans="1:11">
      <c r="A28" s="4" t="s">
        <v>22</v>
      </c>
      <c r="B28" s="4">
        <v>66300466</v>
      </c>
      <c r="C28" s="5">
        <v>473714.67228714901</v>
      </c>
      <c r="F28">
        <f>C28/C27</f>
        <v>0.99218580783705213</v>
      </c>
      <c r="G28" s="2">
        <f>B27*F28</f>
        <v>58173911.706851818</v>
      </c>
      <c r="H28" s="2"/>
      <c r="K28" s="2">
        <f t="shared" ref="K28:K44" si="5">G28-B28</f>
        <v>-8126554.2931481823</v>
      </c>
    </row>
    <row r="29" spans="1:11">
      <c r="A29" s="4" t="s">
        <v>24</v>
      </c>
      <c r="B29" s="4">
        <v>69418835</v>
      </c>
      <c r="C29" s="5">
        <v>471799.76618597802</v>
      </c>
      <c r="F29">
        <f t="shared" ref="F29:F43" si="6">C29/C28</f>
        <v>0.99595768040722576</v>
      </c>
      <c r="G29" s="2">
        <f t="shared" ref="G29:G43" si="7">B28*F29</f>
        <v>66032458.327278137</v>
      </c>
      <c r="H29" s="2"/>
      <c r="K29" s="2">
        <f t="shared" si="5"/>
        <v>-3386376.6727218628</v>
      </c>
    </row>
    <row r="30" spans="1:11">
      <c r="A30" s="4" t="s">
        <v>26</v>
      </c>
      <c r="B30" s="4">
        <v>63982396</v>
      </c>
      <c r="C30" s="5">
        <v>469677.16839305701</v>
      </c>
      <c r="F30">
        <f t="shared" si="6"/>
        <v>0.99550106221950885</v>
      </c>
      <c r="G30" s="2">
        <f t="shared" si="7"/>
        <v>69106523.980540812</v>
      </c>
      <c r="H30" s="2"/>
      <c r="I30" s="2"/>
      <c r="K30" s="2">
        <f t="shared" si="5"/>
        <v>5124127.980540812</v>
      </c>
    </row>
    <row r="31" spans="1:11">
      <c r="A31" s="4" t="s">
        <v>28</v>
      </c>
      <c r="B31" s="4">
        <v>57584693</v>
      </c>
      <c r="C31" s="5">
        <v>466356.49452881399</v>
      </c>
      <c r="F31">
        <f t="shared" si="6"/>
        <v>0.9929298801651264</v>
      </c>
      <c r="G31" s="2">
        <f t="shared" si="7"/>
        <v>63530032.792957664</v>
      </c>
      <c r="H31" s="2"/>
      <c r="I31" s="2"/>
      <c r="K31" s="2">
        <f t="shared" si="5"/>
        <v>5945339.7929576635</v>
      </c>
    </row>
    <row r="32" spans="1:11">
      <c r="A32" s="4" t="s">
        <v>30</v>
      </c>
      <c r="B32" s="4">
        <v>51344208</v>
      </c>
      <c r="C32" s="5">
        <v>461928.00988281099</v>
      </c>
      <c r="F32">
        <f t="shared" si="6"/>
        <v>0.99050407853657674</v>
      </c>
      <c r="G32" s="2">
        <f t="shared" si="7"/>
        <v>57037873.277776659</v>
      </c>
      <c r="H32" s="2"/>
      <c r="I32" s="2"/>
      <c r="K32" s="2">
        <f t="shared" si="5"/>
        <v>5693665.2777766585</v>
      </c>
    </row>
    <row r="33" spans="1:11">
      <c r="A33" s="4" t="s">
        <v>32</v>
      </c>
      <c r="B33" s="4">
        <v>44660674</v>
      </c>
      <c r="C33" s="5">
        <v>456594.82353172702</v>
      </c>
      <c r="F33">
        <f t="shared" si="6"/>
        <v>0.98845450754883435</v>
      </c>
      <c r="G33" s="2">
        <f t="shared" si="7"/>
        <v>50751413.834124923</v>
      </c>
      <c r="H33" s="2"/>
      <c r="I33" s="2"/>
      <c r="K33" s="2">
        <f t="shared" si="5"/>
        <v>6090739.8341249228</v>
      </c>
    </row>
    <row r="34" spans="1:11">
      <c r="A34" s="4" t="s">
        <v>34</v>
      </c>
      <c r="B34" s="4">
        <v>42919381</v>
      </c>
      <c r="C34" s="5">
        <v>449505.85110497201</v>
      </c>
      <c r="F34">
        <f t="shared" si="6"/>
        <v>0.98447426019436157</v>
      </c>
      <c r="G34" s="2">
        <f t="shared" si="7"/>
        <v>43967283.995931558</v>
      </c>
      <c r="H34" s="2"/>
      <c r="I34" s="2"/>
      <c r="K34" s="2">
        <f t="shared" si="5"/>
        <v>1047902.9959315583</v>
      </c>
    </row>
    <row r="35" spans="1:11">
      <c r="A35" s="4" t="s">
        <v>36</v>
      </c>
      <c r="B35" s="4">
        <v>37545386</v>
      </c>
      <c r="C35" s="5">
        <v>439915.590459197</v>
      </c>
      <c r="F35">
        <f t="shared" si="6"/>
        <v>0.97866488139764962</v>
      </c>
      <c r="G35" s="2">
        <f t="shared" si="7"/>
        <v>42003690.916025534</v>
      </c>
      <c r="H35" s="2"/>
      <c r="I35" s="2"/>
      <c r="K35" s="2">
        <f t="shared" si="5"/>
        <v>4458304.9160255343</v>
      </c>
    </row>
    <row r="36" spans="1:11">
      <c r="A36" s="4" t="s">
        <v>38</v>
      </c>
      <c r="B36" s="4">
        <v>32138114</v>
      </c>
      <c r="C36" s="5">
        <v>426952.72715409799</v>
      </c>
      <c r="F36">
        <f t="shared" si="6"/>
        <v>0.97053329414497902</v>
      </c>
      <c r="G36" s="2">
        <f t="shared" si="7"/>
        <v>36439047.154524781</v>
      </c>
      <c r="H36" s="2"/>
      <c r="I36" s="2"/>
      <c r="K36" s="2">
        <f t="shared" si="5"/>
        <v>4300933.1545247808</v>
      </c>
    </row>
    <row r="37" spans="1:11">
      <c r="A37" s="4" t="s">
        <v>40</v>
      </c>
      <c r="B37" s="4">
        <v>25843266</v>
      </c>
      <c r="C37" s="5">
        <v>409197.41016537201</v>
      </c>
      <c r="F37">
        <f t="shared" si="6"/>
        <v>0.95841385741443541</v>
      </c>
      <c r="G37" s="2">
        <f t="shared" si="7"/>
        <v>30801613.808764871</v>
      </c>
      <c r="H37" s="2"/>
      <c r="K37" s="2">
        <f t="shared" si="5"/>
        <v>4958347.8087648712</v>
      </c>
    </row>
    <row r="38" spans="1:11">
      <c r="A38" s="4" t="s">
        <v>42</v>
      </c>
      <c r="B38" s="4">
        <v>19456012</v>
      </c>
      <c r="C38" s="5">
        <v>383947.56256274501</v>
      </c>
      <c r="F38">
        <f t="shared" si="6"/>
        <v>0.93829421453957251</v>
      </c>
      <c r="G38" s="2">
        <f t="shared" si="7"/>
        <v>24248586.97260724</v>
      </c>
      <c r="H38" s="2"/>
      <c r="K38" s="2">
        <f t="shared" si="5"/>
        <v>4792574.9726072401</v>
      </c>
    </row>
    <row r="39" spans="1:11">
      <c r="A39" s="4" t="s">
        <v>44</v>
      </c>
      <c r="B39" s="4">
        <v>18701749</v>
      </c>
      <c r="C39" s="5">
        <v>349309.45771254197</v>
      </c>
      <c r="F39">
        <f t="shared" si="6"/>
        <v>0.90978428247075416</v>
      </c>
      <c r="G39" s="2">
        <f t="shared" si="7"/>
        <v>17700773.917162381</v>
      </c>
      <c r="H39" s="2"/>
      <c r="K39" s="2">
        <f t="shared" si="5"/>
        <v>-1000975.0828376189</v>
      </c>
    </row>
    <row r="40" spans="1:11">
      <c r="A40" s="4" t="s">
        <v>46</v>
      </c>
      <c r="B40" s="4">
        <v>12944326</v>
      </c>
      <c r="C40" s="5">
        <v>302685.089860668</v>
      </c>
      <c r="F40">
        <f t="shared" si="6"/>
        <v>0.86652417556285388</v>
      </c>
      <c r="G40" s="2">
        <f t="shared" si="7"/>
        <v>16205517.633808427</v>
      </c>
      <c r="H40" s="2"/>
      <c r="K40" s="2">
        <f t="shared" si="5"/>
        <v>3261191.6338084266</v>
      </c>
    </row>
    <row r="41" spans="1:11">
      <c r="A41" s="4" t="s">
        <v>48</v>
      </c>
      <c r="B41" s="4">
        <v>9651499</v>
      </c>
      <c r="C41" s="5">
        <v>242368.93259140101</v>
      </c>
      <c r="F41">
        <f t="shared" si="6"/>
        <v>0.8007296715638299</v>
      </c>
      <c r="G41" s="2">
        <f t="shared" si="7"/>
        <v>10364905.906595144</v>
      </c>
      <c r="H41" s="2"/>
      <c r="K41" s="2">
        <f t="shared" si="5"/>
        <v>713406.90659514442</v>
      </c>
    </row>
    <row r="42" spans="1:11">
      <c r="A42" s="4" t="s">
        <v>50</v>
      </c>
      <c r="B42" s="4">
        <v>4490603</v>
      </c>
      <c r="C42" s="5">
        <v>174316.81189851699</v>
      </c>
      <c r="F42">
        <f t="shared" si="6"/>
        <v>0.71922094154034966</v>
      </c>
      <c r="G42" s="2">
        <f t="shared" si="7"/>
        <v>6941560.1980557432</v>
      </c>
      <c r="H42" s="2"/>
      <c r="K42" s="2">
        <f t="shared" si="5"/>
        <v>2450957.1980557432</v>
      </c>
    </row>
    <row r="43" spans="1:11">
      <c r="A43" s="4" t="s">
        <v>52</v>
      </c>
      <c r="B43" s="4">
        <v>2927040</v>
      </c>
      <c r="C43" s="5">
        <v>106131.872453933</v>
      </c>
      <c r="F43">
        <f t="shared" si="6"/>
        <v>0.60884473102755232</v>
      </c>
      <c r="G43" s="2">
        <f t="shared" si="7"/>
        <v>2734079.9756865194</v>
      </c>
      <c r="H43" s="2"/>
      <c r="K43" s="2">
        <f t="shared" si="5"/>
        <v>-192960.02431348059</v>
      </c>
    </row>
    <row r="44" spans="1:11">
      <c r="A44" s="4" t="s">
        <v>54</v>
      </c>
      <c r="B44" s="4">
        <v>2356655</v>
      </c>
      <c r="C44" s="5">
        <v>73153.974478871794</v>
      </c>
      <c r="F44" s="9">
        <f>C44/(C43+C44)</f>
        <v>0.40802983464885234</v>
      </c>
      <c r="G44" s="10">
        <f>(B43+B44)*F44</f>
        <v>2155905.1971849678</v>
      </c>
      <c r="H44" s="10"/>
      <c r="K44" s="2">
        <f t="shared" si="5"/>
        <v>-200749.80281503219</v>
      </c>
    </row>
    <row r="45" spans="1:11">
      <c r="A45" s="4" t="s">
        <v>6</v>
      </c>
      <c r="B45">
        <f>SUM(B27:B44)</f>
        <v>620897377</v>
      </c>
      <c r="F45" t="s">
        <v>6</v>
      </c>
      <c r="G45">
        <f>SUM(G27:G44)</f>
        <v>657849634.70051193</v>
      </c>
      <c r="H45" s="2">
        <f>SUM(H30:H36)</f>
        <v>0</v>
      </c>
      <c r="I45" s="2">
        <f>SUM(I30:I36)</f>
        <v>0</v>
      </c>
    </row>
    <row r="51" spans="2:8">
      <c r="B51" s="11"/>
      <c r="C51" s="11"/>
      <c r="D51" s="11"/>
      <c r="E51" s="11"/>
      <c r="F51" s="11"/>
      <c r="G51" s="11"/>
      <c r="H51" s="11"/>
    </row>
    <row r="52" spans="2:8">
      <c r="B52" s="12"/>
      <c r="C52" s="16"/>
      <c r="E52" s="25"/>
      <c r="G52" s="12"/>
      <c r="H52" s="12"/>
    </row>
    <row r="53" spans="2:8">
      <c r="C53" s="16"/>
      <c r="D53" s="17"/>
      <c r="E53" s="25"/>
    </row>
    <row r="54" spans="2:8">
      <c r="C54" s="22" t="s">
        <v>74</v>
      </c>
      <c r="D54" s="18" t="s">
        <v>65</v>
      </c>
      <c r="E54" s="25"/>
    </row>
    <row r="55" spans="2:8">
      <c r="C55" s="19" t="s">
        <v>66</v>
      </c>
      <c r="D55" s="20" t="s">
        <v>75</v>
      </c>
      <c r="E55" s="15"/>
    </row>
    <row r="56" spans="2:8">
      <c r="C56" s="19" t="s">
        <v>67</v>
      </c>
      <c r="D56" s="20" t="s">
        <v>75</v>
      </c>
      <c r="E56" s="14"/>
    </row>
    <row r="57" spans="2:8">
      <c r="C57" s="19" t="s">
        <v>68</v>
      </c>
      <c r="D57" s="20" t="s">
        <v>69</v>
      </c>
      <c r="E57" s="15"/>
    </row>
    <row r="58" spans="2:8">
      <c r="C58" s="19" t="s">
        <v>70</v>
      </c>
      <c r="D58" s="20" t="s">
        <v>76</v>
      </c>
      <c r="E58" s="15"/>
    </row>
    <row r="59" spans="2:8">
      <c r="C59" s="18" t="s">
        <v>6</v>
      </c>
      <c r="D59" s="21" t="s">
        <v>71</v>
      </c>
      <c r="E59" s="13"/>
    </row>
    <row r="60" spans="2:8">
      <c r="C60" s="19" t="s">
        <v>72</v>
      </c>
      <c r="D60" s="19" t="s">
        <v>73</v>
      </c>
      <c r="E60" s="13"/>
    </row>
    <row r="61" spans="2:8">
      <c r="C61" s="17"/>
      <c r="D61" s="17"/>
      <c r="E61" s="13"/>
    </row>
    <row r="62" spans="2:8">
      <c r="E62" s="13"/>
    </row>
  </sheetData>
  <mergeCells count="1">
    <mergeCell ref="E52:E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Fertility 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2019-09-06T08:12:37Z</dcterms:created>
  <dcterms:modified xsi:type="dcterms:W3CDTF">2021-11-01T09:31:32Z</dcterms:modified>
</cp:coreProperties>
</file>