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vakumar/Dropbox/FLAME/Courses/DemographyCourse/IntroDemogUG2_2022/"/>
    </mc:Choice>
  </mc:AlternateContent>
  <xr:revisionPtr revIDLastSave="0" documentId="13_ncr:1_{200805B5-E88E-C04C-B9D3-B2EDD50E996D}" xr6:coauthVersionLast="45" xr6:coauthVersionMax="45" xr10:uidLastSave="{00000000-0000-0000-0000-000000000000}"/>
  <bookViews>
    <workbookView xWindow="0" yWindow="460" windowWidth="28040" windowHeight="16240" xr2:uid="{348A95CB-6386-4448-8BE9-4C1B91FA2B84}"/>
  </bookViews>
  <sheets>
    <sheet name="Sheet2" sheetId="2" r:id="rId1"/>
    <sheet name="ToDo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9" i="2" l="1"/>
  <c r="O20" i="2" s="1"/>
  <c r="O21" i="2" s="1"/>
  <c r="O22" i="2" s="1"/>
  <c r="O23" i="2" s="1"/>
  <c r="O24" i="2" s="1"/>
  <c r="O25" i="2" s="1"/>
  <c r="O26" i="2" s="1"/>
  <c r="O18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R4" i="2"/>
  <c r="Q4" i="2"/>
  <c r="P4" i="2"/>
  <c r="J18" i="2" l="1"/>
  <c r="J19" i="2" s="1"/>
  <c r="J20" i="2" s="1"/>
  <c r="J21" i="2" s="1"/>
  <c r="J22" i="2" s="1"/>
  <c r="J23" i="2" s="1"/>
  <c r="J24" i="2" s="1"/>
  <c r="J25" i="2" s="1"/>
  <c r="J26" i="2" s="1"/>
  <c r="C18" i="2"/>
  <c r="C19" i="2" s="1"/>
  <c r="C20" i="2" s="1"/>
  <c r="C21" i="2" s="1"/>
  <c r="C22" i="2" s="1"/>
  <c r="C23" i="2" s="1"/>
  <c r="C24" i="2" s="1"/>
  <c r="C25" i="2" s="1"/>
  <c r="C26" i="2" s="1"/>
</calcChain>
</file>

<file path=xl/sharedStrings.xml><?xml version="1.0" encoding="utf-8"?>
<sst xmlns="http://schemas.openxmlformats.org/spreadsheetml/2006/main" count="67" uniqueCount="36">
  <si>
    <t>Population Data of UK - 2010</t>
  </si>
  <si>
    <t>Year</t>
  </si>
  <si>
    <t>Age Interval</t>
  </si>
  <si>
    <t>Age (start)</t>
  </si>
  <si>
    <t>Female</t>
  </si>
  <si>
    <t>Male</t>
  </si>
  <si>
    <t>Total</t>
  </si>
  <si>
    <t>[0-1)</t>
  </si>
  <si>
    <t>[1-4]</t>
  </si>
  <si>
    <t>[10-14]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</si>
  <si>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</si>
  <si>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</si>
  <si>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</si>
  <si>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</si>
  <si>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</si>
  <si>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</si>
  <si>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</si>
  <si>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</si>
  <si>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</si>
  <si>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</si>
  <si>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</si>
  <si>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</si>
  <si>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</si>
  <si>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</si>
  <si>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</si>
  <si>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</si>
  <si>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</si>
  <si>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100-104</t>
  </si>
  <si>
    <t>105-109</t>
  </si>
  <si>
    <t>110+</t>
  </si>
  <si>
    <t>Death of UK - 2010</t>
  </si>
  <si>
    <t>[5-9]</t>
  </si>
  <si>
    <t>m(x,n)_F</t>
  </si>
  <si>
    <t>m(x,n)_M</t>
  </si>
  <si>
    <t>m(x,n)_T</t>
  </si>
  <si>
    <t>Ratio_m(x,n)_M/F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</si>
</sst>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2" xfId="0" applyFont="1" applyBorder="1"/>
    <xf numFmtId="0" fontId="3" fillId="0" borderId="2" xfId="0" applyFont="1" applyBorder="1"/>
    <xf numFmtId="0" fontId="0" fillId="0" borderId="2" xfId="0" applyBorder="1"/>
    <xf numFmtId="1" fontId="0" fillId="0" borderId="2" xfId="0" applyNumberFormat="1" applyFill="1" applyBorder="1"/>
    <xf numFmtId="16" fontId="0" fillId="0" borderId="2" xfId="0" applyNumberFormat="1" applyBorder="1"/>
    <xf numFmtId="1" fontId="0" fillId="0" borderId="2" xfId="0" applyNumberFormat="1" applyBorder="1"/>
    <xf numFmtId="0" fontId="2" fillId="0" borderId="3" xfId="0" applyFont="1" applyFill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Mortality by sex- UK 2010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Sheet2!$P$3</c:f>
              <c:strCache>
                <c:ptCount val="1"/>
                <c:pt idx="0">
                  <c:v>m(x,n)_F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Sheet2!$O$4:$O$27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  <c:pt idx="19">
                  <c:v>90</c:v>
                </c:pt>
                <c:pt idx="20">
                  <c:v>95</c:v>
                </c:pt>
                <c:pt idx="21">
                  <c:v>100</c:v>
                </c:pt>
                <c:pt idx="22">
                  <c:v>105</c:v>
                </c:pt>
                <c:pt idx="23">
                  <c:v>110</c:v>
                </c:pt>
              </c:numCache>
            </c:numRef>
          </c:xVal>
          <c:yVal>
            <c:numRef>
              <c:f>Sheet2!$P$4:$P$27</c:f>
              <c:numCache>
                <c:formatCode>General</c:formatCode>
                <c:ptCount val="24"/>
                <c:pt idx="0">
                  <c:v>4.133897700990939E-3</c:v>
                </c:pt>
                <c:pt idx="1">
                  <c:v>1.7150818581667659E-4</c:v>
                </c:pt>
                <c:pt idx="2">
                  <c:v>8.5685726619393754E-5</c:v>
                </c:pt>
                <c:pt idx="3">
                  <c:v>9.3209289601814326E-5</c:v>
                </c:pt>
                <c:pt idx="4">
                  <c:v>2.0977975925735929E-4</c:v>
                </c:pt>
                <c:pt idx="5">
                  <c:v>2.3055047881164408E-4</c:v>
                </c:pt>
                <c:pt idx="6">
                  <c:v>3.1054370599122868E-4</c:v>
                </c:pt>
                <c:pt idx="7">
                  <c:v>4.612105903545525E-4</c:v>
                </c:pt>
                <c:pt idx="8">
                  <c:v>7.2065258791002525E-4</c:v>
                </c:pt>
                <c:pt idx="9">
                  <c:v>1.114405523317379E-3</c:v>
                </c:pt>
                <c:pt idx="10">
                  <c:v>1.7032262222803852E-3</c:v>
                </c:pt>
                <c:pt idx="11">
                  <c:v>2.8191962180633225E-3</c:v>
                </c:pt>
                <c:pt idx="12">
                  <c:v>4.2833066140502323E-3</c:v>
                </c:pt>
                <c:pt idx="13">
                  <c:v>6.5670645310495377E-3</c:v>
                </c:pt>
                <c:pt idx="14">
                  <c:v>1.0456319229800544E-2</c:v>
                </c:pt>
                <c:pt idx="15">
                  <c:v>1.7395827513596512E-2</c:v>
                </c:pt>
                <c:pt idx="16">
                  <c:v>3.0417100263623931E-2</c:v>
                </c:pt>
                <c:pt idx="17">
                  <c:v>5.6327657510802841E-2</c:v>
                </c:pt>
                <c:pt idx="18">
                  <c:v>0.1000958521315327</c:v>
                </c:pt>
                <c:pt idx="19">
                  <c:v>0.19105227112116391</c:v>
                </c:pt>
                <c:pt idx="20">
                  <c:v>0.29741079152203537</c:v>
                </c:pt>
                <c:pt idx="21">
                  <c:v>0.46611445370882348</c:v>
                </c:pt>
                <c:pt idx="22">
                  <c:v>0.58672615727830457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02-D54B-A38A-16C3488E1437}"/>
            </c:ext>
          </c:extLst>
        </c:ser>
        <c:ser>
          <c:idx val="1"/>
          <c:order val="1"/>
          <c:tx>
            <c:strRef>
              <c:f>Sheet2!$Q$3</c:f>
              <c:strCache>
                <c:ptCount val="1"/>
                <c:pt idx="0">
                  <c:v>m(x,n)_M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Sheet2!$O$4:$O$27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  <c:pt idx="19">
                  <c:v>90</c:v>
                </c:pt>
                <c:pt idx="20">
                  <c:v>95</c:v>
                </c:pt>
                <c:pt idx="21">
                  <c:v>100</c:v>
                </c:pt>
                <c:pt idx="22">
                  <c:v>105</c:v>
                </c:pt>
                <c:pt idx="23">
                  <c:v>110</c:v>
                </c:pt>
              </c:numCache>
            </c:numRef>
          </c:xVal>
          <c:yVal>
            <c:numRef>
              <c:f>Sheet2!$Q$4:$Q$27</c:f>
              <c:numCache>
                <c:formatCode>General</c:formatCode>
                <c:ptCount val="24"/>
                <c:pt idx="0">
                  <c:v>4.7533295025386259E-3</c:v>
                </c:pt>
                <c:pt idx="1">
                  <c:v>1.9644757305394123E-4</c:v>
                </c:pt>
                <c:pt idx="2">
                  <c:v>1.020247689082617E-4</c:v>
                </c:pt>
                <c:pt idx="3">
                  <c:v>1.0385242675060181E-4</c:v>
                </c:pt>
                <c:pt idx="4">
                  <c:v>3.6228252659060853E-4</c:v>
                </c:pt>
                <c:pt idx="5">
                  <c:v>6.3689616078515415E-4</c:v>
                </c:pt>
                <c:pt idx="6">
                  <c:v>6.8650667823417849E-4</c:v>
                </c:pt>
                <c:pt idx="7">
                  <c:v>9.4319262711119287E-4</c:v>
                </c:pt>
                <c:pt idx="8">
                  <c:v>1.2671303053240382E-3</c:v>
                </c:pt>
                <c:pt idx="9">
                  <c:v>1.8450260237247878E-3</c:v>
                </c:pt>
                <c:pt idx="10">
                  <c:v>2.6646896579958935E-3</c:v>
                </c:pt>
                <c:pt idx="11">
                  <c:v>4.1409754665535517E-3</c:v>
                </c:pt>
                <c:pt idx="12">
                  <c:v>6.605228431987447E-3</c:v>
                </c:pt>
                <c:pt idx="13">
                  <c:v>1.0218778103470961E-2</c:v>
                </c:pt>
                <c:pt idx="14">
                  <c:v>1.6484312705099129E-2</c:v>
                </c:pt>
                <c:pt idx="15">
                  <c:v>2.676436466619754E-2</c:v>
                </c:pt>
                <c:pt idx="16">
                  <c:v>4.4867317747978294E-2</c:v>
                </c:pt>
                <c:pt idx="17">
                  <c:v>7.8260336639166095E-2</c:v>
                </c:pt>
                <c:pt idx="18">
                  <c:v>0.13288119157179654</c:v>
                </c:pt>
                <c:pt idx="19">
                  <c:v>0.24191553779168676</c:v>
                </c:pt>
                <c:pt idx="20">
                  <c:v>0.36064945178681806</c:v>
                </c:pt>
                <c:pt idx="21">
                  <c:v>0.55872510430026678</c:v>
                </c:pt>
                <c:pt idx="22">
                  <c:v>0.49762497172585385</c:v>
                </c:pt>
                <c:pt idx="23">
                  <c:v>2.3529411764705883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02-D54B-A38A-16C3488E1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715295"/>
        <c:axId val="637542831"/>
      </c:scatterChart>
      <c:valAx>
        <c:axId val="59871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542831"/>
        <c:crosses val="autoZero"/>
        <c:crossBetween val="midCat"/>
      </c:valAx>
      <c:valAx>
        <c:axId val="63754283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715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Sheet2!$T$3</c:f>
              <c:strCache>
                <c:ptCount val="1"/>
                <c:pt idx="0">
                  <c:v>Ratio_m(x,n)_M/F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Sheet2!$O$4:$O$25</c:f>
              <c:numCache>
                <c:formatCode>0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  <c:pt idx="19">
                  <c:v>90</c:v>
                </c:pt>
                <c:pt idx="20">
                  <c:v>95</c:v>
                </c:pt>
                <c:pt idx="21">
                  <c:v>100</c:v>
                </c:pt>
              </c:numCache>
            </c:numRef>
          </c:xVal>
          <c:yVal>
            <c:numRef>
              <c:f>Sheet2!$T$4:$T$25</c:f>
              <c:numCache>
                <c:formatCode>General</c:formatCode>
                <c:ptCount val="22"/>
                <c:pt idx="0">
                  <c:v>1.1498420731115824</c:v>
                </c:pt>
                <c:pt idx="1">
                  <c:v>1.1454122269354658</c:v>
                </c:pt>
                <c:pt idx="2">
                  <c:v>1.1906856944966355</c:v>
                </c:pt>
                <c:pt idx="3">
                  <c:v>1.1141853692293382</c:v>
                </c:pt>
                <c:pt idx="4">
                  <c:v>1.7269660708598571</c:v>
                </c:pt>
                <c:pt idx="5">
                  <c:v>2.7625020085318832</c:v>
                </c:pt>
                <c:pt idx="6">
                  <c:v>2.2106604158757897</c:v>
                </c:pt>
                <c:pt idx="7">
                  <c:v>2.045036794116371</c:v>
                </c:pt>
                <c:pt idx="8">
                  <c:v>1.7583095191524403</c:v>
                </c:pt>
                <c:pt idx="9">
                  <c:v>1.6556145721823836</c:v>
                </c:pt>
                <c:pt idx="10">
                  <c:v>1.5644954399705291</c:v>
                </c:pt>
                <c:pt idx="11">
                  <c:v>1.4688496813457843</c:v>
                </c:pt>
                <c:pt idx="12">
                  <c:v>1.542086296208816</c:v>
                </c:pt>
                <c:pt idx="13">
                  <c:v>1.5560648224417268</c:v>
                </c:pt>
                <c:pt idx="14">
                  <c:v>1.5764928693185634</c:v>
                </c:pt>
                <c:pt idx="15">
                  <c:v>1.5385508188833568</c:v>
                </c:pt>
                <c:pt idx="16">
                  <c:v>1.4750688710993105</c:v>
                </c:pt>
                <c:pt idx="17">
                  <c:v>1.3893767306790075</c:v>
                </c:pt>
                <c:pt idx="18">
                  <c:v>1.3275394408669572</c:v>
                </c:pt>
                <c:pt idx="19">
                  <c:v>1.2662269669553718</c:v>
                </c:pt>
                <c:pt idx="20">
                  <c:v>1.2126306847883739</c:v>
                </c:pt>
                <c:pt idx="21">
                  <c:v>1.1986865025414899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E4-B84B-A83E-B479A01C0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396751"/>
        <c:axId val="601409631"/>
      </c:scatterChart>
      <c:valAx>
        <c:axId val="601396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09631"/>
        <c:crosses val="autoZero"/>
        <c:crossBetween val="midCat"/>
      </c:valAx>
      <c:valAx>
        <c:axId val="60140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396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463550</xdr:colOff>
      <xdr:row>25</xdr:row>
      <xdr:rowOff>184150</xdr:rowOff>
    </xdr:from>
    <xdr:to>
      <xdr:col>14</xdr:col>
      <xdr:colOff>685800</xdr:colOff>
      <xdr:row>54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6144AE-9654-8D42-B39B-5C32F5A39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412750</xdr:colOff>
      <xdr:row>3</xdr:row>
      <xdr:rowOff>120650</xdr:rowOff>
    </xdr:from>
    <xdr:to>
      <xdr:col>18</xdr:col>
      <xdr:colOff>609600</xdr:colOff>
      <xdr:row>24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B02903-60AA-4249-BA77-0E1DBF423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C6A99-337B-6145-9327-3FCF038CEBC3}">
  <dimension ref="A1:T27"/>
  <sheetViews>
    <sheetView tabSelected="1" topLeftCell="C1" workbookViewId="0">
      <selection activeCell="T3" activeCellId="1" sqref="O3:O25 T3:T25"/>
    </sheetView>
  </sheetViews>
  <sheetFormatPr baseColWidth="10" defaultRowHeight="16" x14ac:dyDescent="0.2"/>
  <sheetData>
    <row r="1" spans="1:20" x14ac:dyDescent="0.2">
      <c r="A1" s="8" t="s">
        <v>0</v>
      </c>
      <c r="B1" s="8"/>
      <c r="C1" s="8"/>
      <c r="D1" s="8"/>
      <c r="E1" s="8"/>
      <c r="F1" s="8"/>
      <c r="H1" s="8" t="s">
        <v>30</v>
      </c>
      <c r="I1" s="8"/>
      <c r="J1" s="8"/>
      <c r="K1" s="8"/>
      <c r="L1" s="8"/>
      <c r="M1" s="8"/>
    </row>
    <row r="2" spans="1:20" x14ac:dyDescent="0.2">
      <c r="A2" s="9"/>
      <c r="B2" s="9"/>
      <c r="C2" s="9"/>
      <c r="D2" s="9"/>
      <c r="E2" s="9"/>
      <c r="F2" s="9"/>
      <c r="H2" s="9"/>
      <c r="I2" s="9"/>
      <c r="J2" s="9"/>
      <c r="K2" s="9"/>
      <c r="L2" s="9"/>
      <c r="M2" s="9"/>
    </row>
    <row r="3" spans="1:20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H3" s="1" t="s">
        <v>1</v>
      </c>
      <c r="I3" s="1" t="s">
        <v>2</v>
      </c>
      <c r="J3" s="1" t="s">
        <v>3</v>
      </c>
      <c r="K3" s="1" t="s">
        <v>4</v>
      </c>
      <c r="L3" s="1" t="s">
        <v>5</v>
      </c>
      <c r="M3" s="1" t="s">
        <v>6</v>
      </c>
      <c r="O3" s="1" t="s">
        <v>2</v>
      </c>
      <c r="P3" s="7" t="s">
        <v>32</v>
      </c>
      <c r="Q3" s="7" t="s">
        <v>33</v>
      </c>
      <c r="R3" s="7" t="s">
        <v>34</v>
      </c>
      <c r="T3" s="10" t="s">
        <v>35</v>
      </c>
    </row>
    <row r="4" spans="1:20" ht="17" x14ac:dyDescent="0.25">
      <c r="A4" s="2">
        <v>2010</v>
      </c>
      <c r="B4" s="3" t="s">
        <v>7</v>
      </c>
      <c r="C4" s="4">
        <v>0</v>
      </c>
      <c r="D4" s="3">
        <v>384383</v>
      </c>
      <c r="E4" s="3">
        <v>402875.5</v>
      </c>
      <c r="F4" s="3">
        <v>787258.5</v>
      </c>
      <c r="H4" s="2">
        <v>2010</v>
      </c>
      <c r="I4" s="3" t="s">
        <v>7</v>
      </c>
      <c r="J4" s="4">
        <v>0</v>
      </c>
      <c r="K4" s="3">
        <v>1589</v>
      </c>
      <c r="L4" s="3">
        <v>1915</v>
      </c>
      <c r="M4" s="3">
        <v>3504</v>
      </c>
      <c r="O4" s="4">
        <v>0</v>
      </c>
      <c r="P4" s="11">
        <f>K4/D4</f>
        <v>4.133897700990939E-3</v>
      </c>
      <c r="Q4" s="11">
        <f>L4/E4</f>
        <v>4.7533295025386259E-3</v>
      </c>
      <c r="R4">
        <f>M4/F4</f>
        <v>4.45088874874009E-3</v>
      </c>
      <c r="T4">
        <f>Q4/P4</f>
        <v>1.1498420731115824</v>
      </c>
    </row>
    <row r="5" spans="1:20" ht="17" x14ac:dyDescent="0.25">
      <c r="A5" s="2">
        <v>2010</v>
      </c>
      <c r="B5" s="5" t="s">
        <v>8</v>
      </c>
      <c r="C5" s="6">
        <v>1</v>
      </c>
      <c r="D5" s="3">
        <v>1486809.5</v>
      </c>
      <c r="E5" s="3">
        <v>1557667.5</v>
      </c>
      <c r="F5" s="3">
        <v>3044477</v>
      </c>
      <c r="H5" s="2">
        <v>2010</v>
      </c>
      <c r="I5" s="5" t="s">
        <v>8</v>
      </c>
      <c r="J5" s="6">
        <v>1</v>
      </c>
      <c r="K5" s="3">
        <v>255</v>
      </c>
      <c r="L5" s="3">
        <v>306</v>
      </c>
      <c r="M5" s="3">
        <v>561</v>
      </c>
      <c r="O5" s="6">
        <v>1</v>
      </c>
      <c r="P5" s="11">
        <f t="shared" ref="P5:P27" si="0">K5/D5</f>
        <v>1.7150818581667659E-4</v>
      </c>
      <c r="Q5" s="11">
        <f t="shared" ref="Q5:Q27" si="1">L5/E5</f>
        <v>1.9644757305394123E-4</v>
      </c>
      <c r="R5">
        <f t="shared" ref="R5:R27" si="2">M5/F5</f>
        <v>1.8426810253452399E-4</v>
      </c>
      <c r="T5">
        <f t="shared" ref="T5:T25" si="3">Q5/P5</f>
        <v>1.1454122269354658</v>
      </c>
    </row>
    <row r="6" spans="1:20" ht="17" x14ac:dyDescent="0.25">
      <c r="A6" s="2">
        <v>2010</v>
      </c>
      <c r="B6" s="3" t="s">
        <v>31</v>
      </c>
      <c r="C6" s="6">
        <v>5</v>
      </c>
      <c r="D6" s="3">
        <v>1692230.5</v>
      </c>
      <c r="E6" s="3">
        <v>1774079</v>
      </c>
      <c r="F6" s="3">
        <v>3466309.5</v>
      </c>
      <c r="H6" s="2">
        <v>2010</v>
      </c>
      <c r="I6" s="3" t="s">
        <v>31</v>
      </c>
      <c r="J6" s="6">
        <v>5</v>
      </c>
      <c r="K6" s="3">
        <v>145</v>
      </c>
      <c r="L6" s="3">
        <v>181</v>
      </c>
      <c r="M6" s="3">
        <v>326</v>
      </c>
      <c r="O6" s="6">
        <v>5</v>
      </c>
      <c r="P6">
        <f t="shared" si="0"/>
        <v>8.5685726619393754E-5</v>
      </c>
      <c r="Q6">
        <f t="shared" si="1"/>
        <v>1.020247689082617E-4</v>
      </c>
      <c r="R6">
        <f t="shared" si="2"/>
        <v>9.4048151210963704E-5</v>
      </c>
      <c r="T6">
        <f t="shared" si="3"/>
        <v>1.1906856944966355</v>
      </c>
    </row>
    <row r="7" spans="1:20" ht="17" x14ac:dyDescent="0.25">
      <c r="A7" s="2">
        <v>2010</v>
      </c>
      <c r="B7" s="3" t="s">
        <v>9</v>
      </c>
      <c r="C7" s="6">
        <v>10</v>
      </c>
      <c r="D7" s="3">
        <v>1813124</v>
      </c>
      <c r="E7" s="3">
        <v>1906551.5</v>
      </c>
      <c r="F7" s="3">
        <v>3719675.5</v>
      </c>
      <c r="H7" s="2">
        <v>2010</v>
      </c>
      <c r="I7" s="3" t="s">
        <v>9</v>
      </c>
      <c r="J7" s="6">
        <v>10</v>
      </c>
      <c r="K7" s="3">
        <v>169</v>
      </c>
      <c r="L7" s="3">
        <v>198</v>
      </c>
      <c r="M7" s="3">
        <v>367</v>
      </c>
      <c r="O7" s="6">
        <v>10</v>
      </c>
      <c r="P7">
        <f t="shared" si="0"/>
        <v>9.3209289601814326E-5</v>
      </c>
      <c r="Q7">
        <f t="shared" si="1"/>
        <v>1.0385242675060181E-4</v>
      </c>
      <c r="R7">
        <f t="shared" si="2"/>
        <v>9.8664520601326645E-5</v>
      </c>
      <c r="T7">
        <f t="shared" si="3"/>
        <v>1.1141853692293382</v>
      </c>
    </row>
    <row r="8" spans="1:20" ht="17" x14ac:dyDescent="0.25">
      <c r="A8" s="2">
        <v>2010</v>
      </c>
      <c r="B8" s="3" t="s">
        <v>10</v>
      </c>
      <c r="C8" s="6">
        <v>15</v>
      </c>
      <c r="D8" s="3">
        <v>1963964.5</v>
      </c>
      <c r="E8" s="3">
        <v>2045365</v>
      </c>
      <c r="F8" s="3">
        <v>4009329.5</v>
      </c>
      <c r="H8" s="2">
        <v>2010</v>
      </c>
      <c r="I8" s="3" t="s">
        <v>10</v>
      </c>
      <c r="J8" s="6">
        <v>15</v>
      </c>
      <c r="K8" s="3">
        <v>412</v>
      </c>
      <c r="L8" s="3">
        <v>741</v>
      </c>
      <c r="M8" s="3">
        <v>1153</v>
      </c>
      <c r="O8" s="6">
        <v>15</v>
      </c>
      <c r="P8">
        <f t="shared" si="0"/>
        <v>2.0977975925735929E-4</v>
      </c>
      <c r="Q8">
        <f t="shared" si="1"/>
        <v>3.6228252659060853E-4</v>
      </c>
      <c r="R8">
        <f t="shared" si="2"/>
        <v>2.8757925732968566E-4</v>
      </c>
      <c r="T8">
        <f t="shared" si="3"/>
        <v>1.7269660708598571</v>
      </c>
    </row>
    <row r="9" spans="1:20" ht="17" x14ac:dyDescent="0.25">
      <c r="A9" s="2">
        <v>2010</v>
      </c>
      <c r="B9" s="3" t="s">
        <v>11</v>
      </c>
      <c r="C9" s="6">
        <v>20</v>
      </c>
      <c r="D9" s="3">
        <v>2086311</v>
      </c>
      <c r="E9" s="3">
        <v>2088252.5</v>
      </c>
      <c r="F9" s="3">
        <v>4174563.5</v>
      </c>
      <c r="H9" s="2">
        <v>2010</v>
      </c>
      <c r="I9" s="3" t="s">
        <v>11</v>
      </c>
      <c r="J9" s="6">
        <v>20</v>
      </c>
      <c r="K9" s="3">
        <v>481</v>
      </c>
      <c r="L9" s="3">
        <v>1330</v>
      </c>
      <c r="M9" s="3">
        <v>1811</v>
      </c>
      <c r="O9" s="6">
        <v>20</v>
      </c>
      <c r="P9">
        <f t="shared" si="0"/>
        <v>2.3055047881164408E-4</v>
      </c>
      <c r="Q9">
        <f t="shared" si="1"/>
        <v>6.3689616078515415E-4</v>
      </c>
      <c r="R9">
        <f t="shared" si="2"/>
        <v>4.3381781113163091E-4</v>
      </c>
      <c r="T9">
        <f t="shared" si="3"/>
        <v>2.7625020085318832</v>
      </c>
    </row>
    <row r="10" spans="1:20" ht="17" x14ac:dyDescent="0.25">
      <c r="A10" s="2">
        <v>2010</v>
      </c>
      <c r="B10" s="3" t="s">
        <v>12</v>
      </c>
      <c r="C10" s="6">
        <v>25</v>
      </c>
      <c r="D10" s="3">
        <v>2141405.5</v>
      </c>
      <c r="E10" s="3">
        <v>2120882.5</v>
      </c>
      <c r="F10" s="3">
        <v>4262288</v>
      </c>
      <c r="H10" s="2">
        <v>2010</v>
      </c>
      <c r="I10" s="3" t="s">
        <v>12</v>
      </c>
      <c r="J10" s="6">
        <v>25</v>
      </c>
      <c r="K10" s="3">
        <v>665</v>
      </c>
      <c r="L10" s="3">
        <v>1456</v>
      </c>
      <c r="M10" s="3">
        <v>2121</v>
      </c>
      <c r="O10" s="6">
        <v>25</v>
      </c>
      <c r="P10">
        <f t="shared" si="0"/>
        <v>3.1054370599122868E-4</v>
      </c>
      <c r="Q10">
        <f t="shared" si="1"/>
        <v>6.8650667823417849E-4</v>
      </c>
      <c r="R10">
        <f t="shared" si="2"/>
        <v>4.9762005758409564E-4</v>
      </c>
      <c r="T10">
        <f t="shared" si="3"/>
        <v>2.2106604158757897</v>
      </c>
    </row>
    <row r="11" spans="1:20" ht="17" x14ac:dyDescent="0.25">
      <c r="A11" s="2">
        <v>2010</v>
      </c>
      <c r="B11" s="3" t="s">
        <v>13</v>
      </c>
      <c r="C11" s="6">
        <v>30</v>
      </c>
      <c r="D11" s="3">
        <v>2001255</v>
      </c>
      <c r="E11" s="3">
        <v>2001712</v>
      </c>
      <c r="F11" s="3">
        <v>4002967</v>
      </c>
      <c r="H11" s="2">
        <v>2010</v>
      </c>
      <c r="I11" s="3" t="s">
        <v>13</v>
      </c>
      <c r="J11" s="6">
        <v>30</v>
      </c>
      <c r="K11" s="3">
        <v>923</v>
      </c>
      <c r="L11" s="3">
        <v>1888</v>
      </c>
      <c r="M11" s="3">
        <v>2811</v>
      </c>
      <c r="O11" s="6">
        <v>30</v>
      </c>
      <c r="P11">
        <f t="shared" si="0"/>
        <v>4.612105903545525E-4</v>
      </c>
      <c r="Q11">
        <f t="shared" si="1"/>
        <v>9.4319262711119287E-4</v>
      </c>
      <c r="R11">
        <f t="shared" si="2"/>
        <v>7.0222912154909096E-4</v>
      </c>
      <c r="T11">
        <f t="shared" si="3"/>
        <v>2.045036794116371</v>
      </c>
    </row>
    <row r="12" spans="1:20" ht="17" x14ac:dyDescent="0.25">
      <c r="A12" s="2">
        <v>2010</v>
      </c>
      <c r="B12" s="3" t="s">
        <v>14</v>
      </c>
      <c r="C12" s="6">
        <v>35</v>
      </c>
      <c r="D12" s="3">
        <v>2189682</v>
      </c>
      <c r="E12" s="3">
        <v>2152107</v>
      </c>
      <c r="F12" s="3">
        <v>4341789</v>
      </c>
      <c r="H12" s="2">
        <v>2010</v>
      </c>
      <c r="I12" s="3" t="s">
        <v>14</v>
      </c>
      <c r="J12" s="6">
        <v>35</v>
      </c>
      <c r="K12" s="3">
        <v>1578</v>
      </c>
      <c r="L12" s="3">
        <v>2727</v>
      </c>
      <c r="M12" s="3">
        <v>4305</v>
      </c>
      <c r="O12" s="6">
        <v>35</v>
      </c>
      <c r="P12">
        <f t="shared" si="0"/>
        <v>7.2065258791002525E-4</v>
      </c>
      <c r="Q12">
        <f t="shared" si="1"/>
        <v>1.2671303053240382E-3</v>
      </c>
      <c r="R12">
        <f t="shared" si="2"/>
        <v>9.9152676465853132E-4</v>
      </c>
      <c r="T12">
        <f t="shared" si="3"/>
        <v>1.7583095191524403</v>
      </c>
    </row>
    <row r="13" spans="1:20" ht="17" x14ac:dyDescent="0.25">
      <c r="A13" s="2">
        <v>2010</v>
      </c>
      <c r="B13" s="3" t="s">
        <v>15</v>
      </c>
      <c r="C13" s="6">
        <v>40</v>
      </c>
      <c r="D13" s="3">
        <v>2360900</v>
      </c>
      <c r="E13" s="3">
        <v>2314330.5</v>
      </c>
      <c r="F13" s="3">
        <v>4675230.5</v>
      </c>
      <c r="H13" s="2">
        <v>2010</v>
      </c>
      <c r="I13" s="3" t="s">
        <v>15</v>
      </c>
      <c r="J13" s="6">
        <v>40</v>
      </c>
      <c r="K13" s="3">
        <v>2631</v>
      </c>
      <c r="L13" s="3">
        <v>4270</v>
      </c>
      <c r="M13" s="3">
        <v>6901</v>
      </c>
      <c r="O13" s="6">
        <v>40</v>
      </c>
      <c r="P13">
        <f t="shared" si="0"/>
        <v>1.114405523317379E-3</v>
      </c>
      <c r="Q13">
        <f t="shared" si="1"/>
        <v>1.8450260237247878E-3</v>
      </c>
      <c r="R13">
        <f t="shared" si="2"/>
        <v>1.4760769549223296E-3</v>
      </c>
      <c r="T13">
        <f t="shared" si="3"/>
        <v>1.6556145721823836</v>
      </c>
    </row>
    <row r="14" spans="1:20" ht="17" x14ac:dyDescent="0.25">
      <c r="A14" s="2">
        <v>2010</v>
      </c>
      <c r="B14" s="3" t="s">
        <v>16</v>
      </c>
      <c r="C14" s="6">
        <v>45</v>
      </c>
      <c r="D14" s="3">
        <v>2296230.5</v>
      </c>
      <c r="E14" s="3">
        <v>2247166</v>
      </c>
      <c r="F14" s="3">
        <v>4543396.5</v>
      </c>
      <c r="H14" s="2">
        <v>2010</v>
      </c>
      <c r="I14" s="3" t="s">
        <v>16</v>
      </c>
      <c r="J14" s="6">
        <v>45</v>
      </c>
      <c r="K14" s="3">
        <v>3911</v>
      </c>
      <c r="L14" s="3">
        <v>5988</v>
      </c>
      <c r="M14" s="3">
        <v>9899</v>
      </c>
      <c r="O14" s="6">
        <v>45</v>
      </c>
      <c r="P14">
        <f t="shared" si="0"/>
        <v>1.7032262222803852E-3</v>
      </c>
      <c r="Q14">
        <f t="shared" si="1"/>
        <v>2.6646896579958935E-3</v>
      </c>
      <c r="R14">
        <f t="shared" si="2"/>
        <v>2.1787664800991947E-3</v>
      </c>
      <c r="T14">
        <f t="shared" si="3"/>
        <v>1.5644954399705291</v>
      </c>
    </row>
    <row r="15" spans="1:20" ht="17" x14ac:dyDescent="0.25">
      <c r="A15" s="2">
        <v>2010</v>
      </c>
      <c r="B15" s="3" t="s">
        <v>17</v>
      </c>
      <c r="C15" s="6">
        <v>50</v>
      </c>
      <c r="D15" s="3">
        <v>1993476</v>
      </c>
      <c r="E15" s="3">
        <v>1963788.5</v>
      </c>
      <c r="F15" s="3">
        <v>3957264.5</v>
      </c>
      <c r="H15" s="2">
        <v>2010</v>
      </c>
      <c r="I15" s="3" t="s">
        <v>17</v>
      </c>
      <c r="J15" s="6">
        <v>50</v>
      </c>
      <c r="K15" s="3">
        <v>5620</v>
      </c>
      <c r="L15" s="3">
        <v>8132</v>
      </c>
      <c r="M15" s="3">
        <v>13752</v>
      </c>
      <c r="O15" s="6">
        <v>50</v>
      </c>
      <c r="P15">
        <f t="shared" si="0"/>
        <v>2.8191962180633225E-3</v>
      </c>
      <c r="Q15">
        <f t="shared" si="1"/>
        <v>4.1409754665535517E-3</v>
      </c>
      <c r="R15">
        <f t="shared" si="2"/>
        <v>3.4751278313592633E-3</v>
      </c>
      <c r="T15">
        <f t="shared" si="3"/>
        <v>1.4688496813457843</v>
      </c>
    </row>
    <row r="16" spans="1:20" ht="17" x14ac:dyDescent="0.25">
      <c r="A16" s="2">
        <v>2010</v>
      </c>
      <c r="B16" s="3" t="s">
        <v>18</v>
      </c>
      <c r="C16" s="6">
        <v>55</v>
      </c>
      <c r="D16" s="3">
        <v>1824525</v>
      </c>
      <c r="E16" s="3">
        <v>1779348</v>
      </c>
      <c r="F16" s="3">
        <v>3603873</v>
      </c>
      <c r="H16" s="2">
        <v>2010</v>
      </c>
      <c r="I16" s="3" t="s">
        <v>18</v>
      </c>
      <c r="J16" s="6">
        <v>55</v>
      </c>
      <c r="K16" s="3">
        <v>7815</v>
      </c>
      <c r="L16" s="3">
        <v>11753</v>
      </c>
      <c r="M16" s="3">
        <v>19568</v>
      </c>
      <c r="O16" s="6">
        <v>55</v>
      </c>
      <c r="P16">
        <f t="shared" si="0"/>
        <v>4.2833066140502323E-3</v>
      </c>
      <c r="Q16">
        <f t="shared" si="1"/>
        <v>6.605228431987447E-3</v>
      </c>
      <c r="R16">
        <f t="shared" si="2"/>
        <v>5.4297140881490553E-3</v>
      </c>
      <c r="T16">
        <f t="shared" si="3"/>
        <v>1.542086296208816</v>
      </c>
    </row>
    <row r="17" spans="1:20" ht="17" x14ac:dyDescent="0.25">
      <c r="A17" s="2">
        <v>2010</v>
      </c>
      <c r="B17" s="3" t="s">
        <v>19</v>
      </c>
      <c r="C17" s="6">
        <v>60</v>
      </c>
      <c r="D17" s="3">
        <v>1911204</v>
      </c>
      <c r="E17" s="3">
        <v>1843077.5</v>
      </c>
      <c r="F17" s="3">
        <v>3754281.5</v>
      </c>
      <c r="H17" s="2">
        <v>2010</v>
      </c>
      <c r="I17" s="3" t="s">
        <v>19</v>
      </c>
      <c r="J17" s="6">
        <v>60</v>
      </c>
      <c r="K17" s="3">
        <v>12551</v>
      </c>
      <c r="L17" s="3">
        <v>18834</v>
      </c>
      <c r="M17" s="3">
        <v>31385</v>
      </c>
      <c r="O17" s="6">
        <v>60</v>
      </c>
      <c r="P17">
        <f t="shared" si="0"/>
        <v>6.5670645310495377E-3</v>
      </c>
      <c r="Q17">
        <f t="shared" si="1"/>
        <v>1.0218778103470961E-2</v>
      </c>
      <c r="R17">
        <f t="shared" si="2"/>
        <v>8.3597886839332641E-3</v>
      </c>
      <c r="T17">
        <f t="shared" si="3"/>
        <v>1.5560648224417268</v>
      </c>
    </row>
    <row r="18" spans="1:20" ht="17" x14ac:dyDescent="0.25">
      <c r="A18" s="2">
        <v>2010</v>
      </c>
      <c r="B18" s="3" t="s">
        <v>20</v>
      </c>
      <c r="C18" s="6">
        <f>C17+5</f>
        <v>65</v>
      </c>
      <c r="D18" s="3">
        <v>1494885.5</v>
      </c>
      <c r="E18" s="3">
        <v>1400847</v>
      </c>
      <c r="F18" s="3">
        <v>2895732.5</v>
      </c>
      <c r="H18" s="2">
        <v>2010</v>
      </c>
      <c r="I18" s="3" t="s">
        <v>20</v>
      </c>
      <c r="J18" s="6">
        <f>J17+5</f>
        <v>65</v>
      </c>
      <c r="K18" s="3">
        <v>15631</v>
      </c>
      <c r="L18" s="3">
        <v>23092</v>
      </c>
      <c r="M18" s="3">
        <v>38723</v>
      </c>
      <c r="O18" s="6">
        <f>O17+5</f>
        <v>65</v>
      </c>
      <c r="P18">
        <f t="shared" si="0"/>
        <v>1.0456319229800544E-2</v>
      </c>
      <c r="Q18">
        <f t="shared" si="1"/>
        <v>1.6484312705099129E-2</v>
      </c>
      <c r="R18">
        <f t="shared" si="2"/>
        <v>1.3372436853196903E-2</v>
      </c>
      <c r="T18">
        <f t="shared" si="3"/>
        <v>1.5764928693185634</v>
      </c>
    </row>
    <row r="19" spans="1:20" ht="17" x14ac:dyDescent="0.25">
      <c r="A19" s="2">
        <v>2010</v>
      </c>
      <c r="B19" s="3" t="s">
        <v>21</v>
      </c>
      <c r="C19" s="6">
        <f t="shared" ref="C19:C26" si="4">C18+5</f>
        <v>70</v>
      </c>
      <c r="D19" s="3">
        <v>1297667.5</v>
      </c>
      <c r="E19" s="3">
        <v>1156762</v>
      </c>
      <c r="F19" s="3">
        <v>2454429.5</v>
      </c>
      <c r="H19" s="2">
        <v>2010</v>
      </c>
      <c r="I19" s="3" t="s">
        <v>21</v>
      </c>
      <c r="J19" s="6">
        <f t="shared" ref="J19:J26" si="5">J18+5</f>
        <v>70</v>
      </c>
      <c r="K19" s="3">
        <v>22574</v>
      </c>
      <c r="L19" s="3">
        <v>30960</v>
      </c>
      <c r="M19" s="3">
        <v>53534</v>
      </c>
      <c r="O19" s="6">
        <f t="shared" ref="O19:O26" si="6">O18+5</f>
        <v>70</v>
      </c>
      <c r="P19">
        <f t="shared" si="0"/>
        <v>1.7395827513596512E-2</v>
      </c>
      <c r="Q19">
        <f t="shared" si="1"/>
        <v>2.676436466619754E-2</v>
      </c>
      <c r="R19">
        <f t="shared" si="2"/>
        <v>2.1811178524378069E-2</v>
      </c>
      <c r="T19">
        <f t="shared" si="3"/>
        <v>1.5385508188833568</v>
      </c>
    </row>
    <row r="20" spans="1:20" ht="17" x14ac:dyDescent="0.25">
      <c r="A20" s="2">
        <v>2010</v>
      </c>
      <c r="B20" s="3" t="s">
        <v>22</v>
      </c>
      <c r="C20" s="6">
        <f t="shared" si="4"/>
        <v>75</v>
      </c>
      <c r="D20" s="3">
        <v>1103655.5</v>
      </c>
      <c r="E20" s="3">
        <v>888419.5</v>
      </c>
      <c r="F20" s="3">
        <v>1992075</v>
      </c>
      <c r="H20" s="2">
        <v>2010</v>
      </c>
      <c r="I20" s="3" t="s">
        <v>22</v>
      </c>
      <c r="J20" s="6">
        <f t="shared" si="5"/>
        <v>75</v>
      </c>
      <c r="K20" s="3">
        <v>33570</v>
      </c>
      <c r="L20" s="3">
        <v>39861</v>
      </c>
      <c r="M20" s="3">
        <v>73431</v>
      </c>
      <c r="O20" s="6">
        <f t="shared" si="6"/>
        <v>75</v>
      </c>
      <c r="P20">
        <f t="shared" si="0"/>
        <v>3.0417100263623931E-2</v>
      </c>
      <c r="Q20">
        <f t="shared" si="1"/>
        <v>4.4867317747978294E-2</v>
      </c>
      <c r="R20">
        <f t="shared" si="2"/>
        <v>3.6861563947140547E-2</v>
      </c>
      <c r="T20">
        <f t="shared" si="3"/>
        <v>1.4750688710993105</v>
      </c>
    </row>
    <row r="21" spans="1:20" ht="17" x14ac:dyDescent="0.25">
      <c r="A21" s="2">
        <v>2010</v>
      </c>
      <c r="B21" s="3" t="s">
        <v>23</v>
      </c>
      <c r="C21" s="6">
        <f t="shared" si="4"/>
        <v>80</v>
      </c>
      <c r="D21" s="3">
        <v>873265.5</v>
      </c>
      <c r="E21" s="3">
        <v>595563.5</v>
      </c>
      <c r="F21" s="3">
        <v>1468829</v>
      </c>
      <c r="H21" s="2">
        <v>2010</v>
      </c>
      <c r="I21" s="3" t="s">
        <v>23</v>
      </c>
      <c r="J21" s="6">
        <f t="shared" si="5"/>
        <v>80</v>
      </c>
      <c r="K21" s="3">
        <v>49189</v>
      </c>
      <c r="L21" s="3">
        <v>46609</v>
      </c>
      <c r="M21" s="3">
        <v>95798</v>
      </c>
      <c r="O21" s="6">
        <f t="shared" si="6"/>
        <v>80</v>
      </c>
      <c r="P21">
        <f t="shared" si="0"/>
        <v>5.6327657510802841E-2</v>
      </c>
      <c r="Q21">
        <f t="shared" si="1"/>
        <v>7.8260336639166095E-2</v>
      </c>
      <c r="R21">
        <f t="shared" si="2"/>
        <v>6.5220662173745211E-2</v>
      </c>
      <c r="T21">
        <f t="shared" si="3"/>
        <v>1.3893767306790075</v>
      </c>
    </row>
    <row r="22" spans="1:20" ht="17" x14ac:dyDescent="0.25">
      <c r="A22" s="2">
        <v>2010</v>
      </c>
      <c r="B22" s="3" t="s">
        <v>24</v>
      </c>
      <c r="C22" s="6">
        <f t="shared" si="4"/>
        <v>85</v>
      </c>
      <c r="D22" s="3">
        <v>614790.71</v>
      </c>
      <c r="E22" s="3">
        <v>322235.21999999997</v>
      </c>
      <c r="F22" s="3">
        <v>937025.93</v>
      </c>
      <c r="H22" s="2">
        <v>2010</v>
      </c>
      <c r="I22" s="3" t="s">
        <v>24</v>
      </c>
      <c r="J22" s="6">
        <f t="shared" si="5"/>
        <v>85</v>
      </c>
      <c r="K22" s="3">
        <v>61538</v>
      </c>
      <c r="L22" s="3">
        <v>42819</v>
      </c>
      <c r="M22" s="3">
        <v>104357</v>
      </c>
      <c r="O22" s="6">
        <f t="shared" si="6"/>
        <v>85</v>
      </c>
      <c r="P22" s="11">
        <f t="shared" si="0"/>
        <v>0.1000958521315327</v>
      </c>
      <c r="Q22" s="11">
        <f t="shared" si="1"/>
        <v>0.13288119157179654</v>
      </c>
      <c r="R22">
        <f t="shared" si="2"/>
        <v>0.11137045054879111</v>
      </c>
      <c r="T22">
        <f t="shared" si="3"/>
        <v>1.3275394408669572</v>
      </c>
    </row>
    <row r="23" spans="1:20" ht="17" x14ac:dyDescent="0.25">
      <c r="A23" s="2">
        <v>2010</v>
      </c>
      <c r="B23" s="3" t="s">
        <v>25</v>
      </c>
      <c r="C23" s="6">
        <f t="shared" si="4"/>
        <v>90</v>
      </c>
      <c r="D23" s="3">
        <v>229167.65</v>
      </c>
      <c r="E23" s="3">
        <v>85674.53</v>
      </c>
      <c r="F23" s="3">
        <v>314842.18</v>
      </c>
      <c r="H23" s="2">
        <v>2010</v>
      </c>
      <c r="I23" s="3" t="s">
        <v>25</v>
      </c>
      <c r="J23" s="6">
        <f t="shared" si="5"/>
        <v>90</v>
      </c>
      <c r="K23" s="3">
        <v>43783</v>
      </c>
      <c r="L23" s="3">
        <v>20726</v>
      </c>
      <c r="M23" s="3">
        <v>64509</v>
      </c>
      <c r="O23" s="6">
        <f t="shared" si="6"/>
        <v>90</v>
      </c>
      <c r="P23">
        <f t="shared" si="0"/>
        <v>0.19105227112116391</v>
      </c>
      <c r="Q23">
        <f t="shared" si="1"/>
        <v>0.24191553779168676</v>
      </c>
      <c r="R23">
        <f t="shared" si="2"/>
        <v>0.20489313090132968</v>
      </c>
      <c r="T23">
        <f t="shared" si="3"/>
        <v>1.2662269669553718</v>
      </c>
    </row>
    <row r="24" spans="1:20" ht="17" x14ac:dyDescent="0.25">
      <c r="A24" s="2">
        <v>2010</v>
      </c>
      <c r="B24" s="3" t="s">
        <v>26</v>
      </c>
      <c r="C24" s="6">
        <f t="shared" si="4"/>
        <v>95</v>
      </c>
      <c r="D24" s="3">
        <v>71140.66</v>
      </c>
      <c r="E24" s="3">
        <v>17681.990000000002</v>
      </c>
      <c r="F24" s="3">
        <v>88822.65</v>
      </c>
      <c r="H24" s="2">
        <v>2010</v>
      </c>
      <c r="I24" s="3" t="s">
        <v>26</v>
      </c>
      <c r="J24" s="6">
        <f t="shared" si="5"/>
        <v>95</v>
      </c>
      <c r="K24" s="3">
        <v>21158</v>
      </c>
      <c r="L24" s="3">
        <v>6377</v>
      </c>
      <c r="M24" s="3">
        <v>27535</v>
      </c>
      <c r="O24" s="6">
        <f t="shared" si="6"/>
        <v>95</v>
      </c>
      <c r="P24">
        <f t="shared" si="0"/>
        <v>0.29741079152203537</v>
      </c>
      <c r="Q24">
        <f t="shared" si="1"/>
        <v>0.36064945178681806</v>
      </c>
      <c r="R24">
        <f t="shared" si="2"/>
        <v>0.30999975794462337</v>
      </c>
      <c r="T24">
        <f t="shared" si="3"/>
        <v>1.2126306847883739</v>
      </c>
    </row>
    <row r="25" spans="1:20" ht="17" x14ac:dyDescent="0.25">
      <c r="A25" s="2">
        <v>2010</v>
      </c>
      <c r="B25" s="3" t="s">
        <v>27</v>
      </c>
      <c r="C25" s="6">
        <f t="shared" si="4"/>
        <v>100</v>
      </c>
      <c r="D25" s="3">
        <v>9132.9500000000007</v>
      </c>
      <c r="E25" s="3">
        <v>1356.66</v>
      </c>
      <c r="F25" s="3">
        <v>10489.61</v>
      </c>
      <c r="H25" s="2">
        <v>2010</v>
      </c>
      <c r="I25" s="3" t="s">
        <v>27</v>
      </c>
      <c r="J25" s="6">
        <f t="shared" si="5"/>
        <v>100</v>
      </c>
      <c r="K25" s="3">
        <v>4257</v>
      </c>
      <c r="L25" s="3">
        <v>758</v>
      </c>
      <c r="M25" s="3">
        <v>5015</v>
      </c>
      <c r="O25" s="6">
        <f t="shared" si="6"/>
        <v>100</v>
      </c>
      <c r="P25">
        <f t="shared" si="0"/>
        <v>0.46611445370882348</v>
      </c>
      <c r="Q25">
        <f t="shared" si="1"/>
        <v>0.55872510430026678</v>
      </c>
      <c r="R25">
        <f t="shared" si="2"/>
        <v>0.47809213116598231</v>
      </c>
      <c r="T25">
        <f t="shared" si="3"/>
        <v>1.1986865025414899</v>
      </c>
    </row>
    <row r="26" spans="1:20" ht="17" x14ac:dyDescent="0.25">
      <c r="A26" s="2">
        <v>2010</v>
      </c>
      <c r="B26" s="3" t="s">
        <v>28</v>
      </c>
      <c r="C26" s="6">
        <f t="shared" si="4"/>
        <v>105</v>
      </c>
      <c r="D26" s="3">
        <v>448.25</v>
      </c>
      <c r="E26" s="3">
        <v>44.21</v>
      </c>
      <c r="F26" s="3">
        <v>492.46</v>
      </c>
      <c r="H26" s="2">
        <v>2010</v>
      </c>
      <c r="I26" s="3" t="s">
        <v>28</v>
      </c>
      <c r="J26" s="6">
        <f t="shared" si="5"/>
        <v>105</v>
      </c>
      <c r="K26" s="3">
        <v>263</v>
      </c>
      <c r="L26" s="3">
        <v>22</v>
      </c>
      <c r="M26" s="3">
        <v>285</v>
      </c>
      <c r="O26" s="6">
        <f t="shared" si="6"/>
        <v>105</v>
      </c>
      <c r="P26">
        <f t="shared" si="0"/>
        <v>0.58672615727830457</v>
      </c>
      <c r="Q26">
        <f t="shared" si="1"/>
        <v>0.49762497172585385</v>
      </c>
      <c r="R26">
        <f t="shared" si="2"/>
        <v>0.57872720627056007</v>
      </c>
    </row>
    <row r="27" spans="1:20" ht="17" x14ac:dyDescent="0.25">
      <c r="A27" s="2">
        <v>2010</v>
      </c>
      <c r="B27" s="3" t="s">
        <v>29</v>
      </c>
      <c r="C27" s="6">
        <v>110</v>
      </c>
      <c r="D27" s="3">
        <v>12</v>
      </c>
      <c r="E27" s="3">
        <v>0.85</v>
      </c>
      <c r="F27" s="3">
        <v>12.76</v>
      </c>
      <c r="H27" s="2">
        <v>2010</v>
      </c>
      <c r="I27" s="3" t="s">
        <v>29</v>
      </c>
      <c r="J27" s="6">
        <v>110</v>
      </c>
      <c r="K27" s="3">
        <v>12</v>
      </c>
      <c r="L27" s="3">
        <v>2</v>
      </c>
      <c r="M27" s="3">
        <v>15</v>
      </c>
      <c r="O27" s="6">
        <v>110</v>
      </c>
      <c r="P27">
        <f t="shared" si="0"/>
        <v>1</v>
      </c>
      <c r="Q27">
        <f t="shared" si="1"/>
        <v>2.3529411764705883</v>
      </c>
      <c r="R27">
        <f t="shared" si="2"/>
        <v>1.1755485893416928</v>
      </c>
    </row>
  </sheetData>
  <mergeCells count="2">
    <mergeCell ref="A1:F2"/>
    <mergeCell ref="H1:M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F269-EA8C-2C47-BCDC-E2937B8B6284}">
  <dimension ref="A1"/>
  <sheetViews>
    <sheetView workbookViewId="0">
      <selection activeCell="E21" sqref="E21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ToDo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 Jolad</dc:creator>
  <cp:lastModifiedBy>Shivakumar Jolad</cp:lastModifiedBy>
  <dcterms:created xsi:type="dcterms:W3CDTF">2019-08-10T06:46:58Z</dcterms:created>
  <dcterms:modified xsi:type="dcterms:W3CDTF">2022-02-14T15:18:11Z</dcterms:modified>
</cp:coreProperties>
</file>